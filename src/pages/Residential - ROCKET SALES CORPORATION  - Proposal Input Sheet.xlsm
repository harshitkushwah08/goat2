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Proposal Template\"/>
    </mc:Choice>
  </mc:AlternateContent>
  <xr:revisionPtr revIDLastSave="0" documentId="13_ncr:1_{3B2A12DC-99BB-4AE2-A8F3-EDA6A6F3D988}" xr6:coauthVersionLast="47" xr6:coauthVersionMax="47" xr10:uidLastSave="{00000000-0000-0000-0000-000000000000}"/>
  <bookViews>
    <workbookView xWindow="-108" yWindow="-108" windowWidth="23256" windowHeight="12456" xr2:uid="{00000000-000D-0000-FFFF-FFFF00000000}"/>
  </bookViews>
  <sheets>
    <sheet name="Input Page" sheetId="1" r:id="rId1"/>
    <sheet name="Savings &amp; Graph" sheetId="3" state="hidden" r:id="rId2"/>
    <sheet name="Variable Page " sheetId="4" state="hidden" r:id="rId3"/>
  </sheets>
  <calcPr calcId="191029"/>
</workbook>
</file>

<file path=xl/calcChain.xml><?xml version="1.0" encoding="utf-8"?>
<calcChain xmlns="http://schemas.openxmlformats.org/spreadsheetml/2006/main">
  <c r="L6" i="3" l="1"/>
  <c r="L7" i="3"/>
  <c r="L5" i="3"/>
  <c r="S10" i="1" l="1"/>
  <c r="C35" i="4" l="1"/>
  <c r="E35" i="4" s="1"/>
  <c r="C36" i="4"/>
  <c r="E36" i="4" s="1"/>
  <c r="C37" i="4"/>
  <c r="E37" i="4" s="1"/>
  <c r="C38" i="4"/>
  <c r="E38" i="4" s="1"/>
  <c r="C39" i="4"/>
  <c r="E39" i="4" s="1"/>
  <c r="C40" i="4"/>
  <c r="E40" i="4" s="1"/>
  <c r="C41" i="4"/>
  <c r="E41" i="4" s="1"/>
  <c r="C42" i="4"/>
  <c r="E42" i="4" s="1"/>
  <c r="C43" i="4"/>
  <c r="E43" i="4" s="1"/>
  <c r="C44" i="4"/>
  <c r="E44" i="4" s="1"/>
  <c r="C45" i="4"/>
  <c r="E45" i="4" s="1"/>
  <c r="C46" i="4"/>
  <c r="E46" i="4" s="1"/>
  <c r="C47" i="4"/>
  <c r="E47" i="4" s="1"/>
  <c r="C48" i="4"/>
  <c r="E48" i="4"/>
  <c r="C49" i="4"/>
  <c r="E49" i="4" s="1"/>
  <c r="C50" i="4"/>
  <c r="E50" i="4"/>
  <c r="C51" i="4"/>
  <c r="E51" i="4" s="1"/>
  <c r="C52" i="4"/>
  <c r="E52" i="4"/>
  <c r="C53" i="4"/>
  <c r="E53" i="4" s="1"/>
  <c r="C54" i="4"/>
  <c r="E54" i="4" s="1"/>
  <c r="C55" i="4"/>
  <c r="E55" i="4" s="1"/>
  <c r="C56" i="4"/>
  <c r="E56" i="4"/>
  <c r="C57" i="4"/>
  <c r="E57" i="4" s="1"/>
  <c r="C58" i="4"/>
  <c r="E58" i="4"/>
  <c r="C59" i="4"/>
  <c r="E59" i="4" s="1"/>
  <c r="C60" i="4"/>
  <c r="E60" i="4"/>
  <c r="C61" i="4"/>
  <c r="E61" i="4" s="1"/>
  <c r="C62" i="4"/>
  <c r="E62" i="4" s="1"/>
  <c r="C63" i="4"/>
  <c r="E63" i="4" s="1"/>
  <c r="C64" i="4"/>
  <c r="E64" i="4"/>
  <c r="C65" i="4"/>
  <c r="E65" i="4" s="1"/>
  <c r="C66" i="4"/>
  <c r="E66" i="4"/>
  <c r="C67" i="4"/>
  <c r="E67" i="4" s="1"/>
  <c r="C68" i="4"/>
  <c r="E68" i="4"/>
  <c r="C69" i="4"/>
  <c r="E69" i="4" s="1"/>
  <c r="C70" i="4"/>
  <c r="E70" i="4" s="1"/>
  <c r="C71" i="4"/>
  <c r="E71" i="4" s="1"/>
  <c r="C72" i="4"/>
  <c r="E72" i="4"/>
  <c r="C73" i="4"/>
  <c r="E73" i="4" s="1"/>
  <c r="C74" i="4"/>
  <c r="E74" i="4"/>
  <c r="C75" i="4"/>
  <c r="E75" i="4" s="1"/>
  <c r="C76" i="4"/>
  <c r="E76" i="4"/>
  <c r="C77" i="4"/>
  <c r="E77" i="4" s="1"/>
  <c r="C78" i="4"/>
  <c r="E78" i="4" s="1"/>
  <c r="C79" i="4"/>
  <c r="E79" i="4" s="1"/>
  <c r="C80" i="4"/>
  <c r="E80" i="4" s="1"/>
  <c r="C81" i="4"/>
  <c r="E81" i="4" s="1"/>
  <c r="C82" i="4"/>
  <c r="E82" i="4"/>
  <c r="C83" i="4"/>
  <c r="E83" i="4" s="1"/>
  <c r="C84" i="4"/>
  <c r="E84" i="4"/>
  <c r="C85" i="4"/>
  <c r="E85" i="4" s="1"/>
  <c r="C86" i="4"/>
  <c r="E86" i="4" s="1"/>
  <c r="C87" i="4"/>
  <c r="E87" i="4" s="1"/>
  <c r="C88" i="4"/>
  <c r="E88" i="4" s="1"/>
  <c r="C89" i="4"/>
  <c r="E89" i="4" s="1"/>
  <c r="C90" i="4"/>
  <c r="E90" i="4"/>
  <c r="C91" i="4"/>
  <c r="E91" i="4" s="1"/>
  <c r="C92" i="4"/>
  <c r="E92" i="4"/>
  <c r="C93" i="4"/>
  <c r="E93" i="4" s="1"/>
  <c r="C94" i="4"/>
  <c r="E94" i="4"/>
  <c r="C34" i="4"/>
  <c r="E34" i="4" s="1"/>
  <c r="C33" i="4"/>
  <c r="E33" i="4" s="1"/>
  <c r="C32" i="4"/>
  <c r="E32" i="4" s="1"/>
  <c r="C31" i="4"/>
  <c r="E31" i="4" s="1"/>
  <c r="C30" i="4"/>
  <c r="E30" i="4" s="1"/>
  <c r="C29" i="4"/>
  <c r="E29" i="4" s="1"/>
  <c r="C28" i="4"/>
  <c r="E28" i="4" s="1"/>
  <c r="C27" i="4"/>
  <c r="E27" i="4" s="1"/>
  <c r="C26" i="4"/>
  <c r="E26" i="4" s="1"/>
  <c r="C25" i="4"/>
  <c r="E25" i="4" s="1"/>
  <c r="C24" i="4"/>
  <c r="E24" i="4" s="1"/>
  <c r="E23" i="4"/>
  <c r="C23" i="4"/>
  <c r="C22" i="4"/>
  <c r="E22" i="4" s="1"/>
  <c r="C21" i="4"/>
  <c r="E21" i="4" s="1"/>
  <c r="C20" i="4"/>
  <c r="E20" i="4" s="1"/>
  <c r="C19" i="4"/>
  <c r="E19" i="4" s="1"/>
  <c r="C18" i="4"/>
  <c r="E18" i="4" s="1"/>
  <c r="C17" i="4"/>
  <c r="E17" i="4" s="1"/>
  <c r="C16" i="4"/>
  <c r="E16" i="4" s="1"/>
  <c r="E15" i="4"/>
  <c r="C15" i="4"/>
  <c r="C14" i="4"/>
  <c r="E14" i="4" s="1"/>
  <c r="C13" i="4"/>
  <c r="E13" i="4" s="1"/>
  <c r="C12" i="4"/>
  <c r="E12" i="4" s="1"/>
  <c r="C11" i="4"/>
  <c r="E11" i="4" s="1"/>
  <c r="C10" i="4"/>
  <c r="E10" i="4" s="1"/>
  <c r="C9" i="4"/>
  <c r="E9" i="4" s="1"/>
  <c r="C8" i="4"/>
  <c r="E8" i="4" s="1"/>
  <c r="E7" i="4"/>
  <c r="C7" i="4"/>
  <c r="C6" i="4"/>
  <c r="E6" i="4" s="1"/>
  <c r="C5" i="4"/>
  <c r="E5" i="4" s="1"/>
  <c r="C4" i="4"/>
  <c r="E4" i="4" s="1"/>
  <c r="C3" i="4"/>
  <c r="E3" i="4" s="1"/>
  <c r="C2" i="4"/>
  <c r="E2" i="4" s="1"/>
  <c r="L32" i="3"/>
  <c r="L27" i="3"/>
  <c r="AP10" i="3"/>
  <c r="AP9" i="3"/>
  <c r="AP8" i="3"/>
  <c r="AP7" i="3"/>
  <c r="AP6" i="3"/>
  <c r="C5" i="3"/>
  <c r="C6" i="3" s="1"/>
  <c r="C7" i="3" s="1"/>
  <c r="B5" i="3"/>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C28" i="1"/>
  <c r="E16" i="1"/>
  <c r="AN6" i="1" s="1"/>
  <c r="S8" i="1"/>
  <c r="S7" i="1"/>
  <c r="C7" i="1"/>
  <c r="R6" i="1"/>
  <c r="S6" i="1" s="1"/>
  <c r="S9" i="1" s="1"/>
  <c r="S11" i="1" s="1"/>
  <c r="D5" i="3" l="1"/>
  <c r="D7" i="3"/>
  <c r="C8" i="3"/>
  <c r="D27" i="1"/>
  <c r="D6" i="3"/>
  <c r="X5" i="3"/>
  <c r="Y5" i="3" s="1"/>
  <c r="AN5" i="1"/>
  <c r="AN7" i="1"/>
  <c r="D28" i="1"/>
  <c r="L31" i="3" s="1"/>
  <c r="AE5" i="3"/>
  <c r="AK5" i="3" s="1"/>
  <c r="C29" i="1"/>
  <c r="D29" i="1" s="1"/>
  <c r="E5" i="3" s="1"/>
  <c r="C9" i="3" l="1"/>
  <c r="D8" i="3"/>
  <c r="AQ9" i="3"/>
  <c r="AR8" i="3"/>
  <c r="AQ8" i="3"/>
  <c r="AR10" i="3"/>
  <c r="AR9" i="3"/>
  <c r="AQ6" i="3"/>
  <c r="AC12" i="3"/>
  <c r="AQ7" i="3"/>
  <c r="AR6" i="3"/>
  <c r="AQ10" i="3"/>
  <c r="AR7" i="3"/>
  <c r="Z5" i="3"/>
  <c r="E6" i="3"/>
  <c r="F5" i="3"/>
  <c r="P12" i="3"/>
  <c r="Q12" i="3" s="1"/>
  <c r="P11" i="3"/>
  <c r="Q11" i="3" s="1"/>
  <c r="P8" i="3"/>
  <c r="Q8" i="3" s="1"/>
  <c r="P7" i="3"/>
  <c r="Q7" i="3" s="1"/>
  <c r="P6" i="3"/>
  <c r="Q6" i="3" s="1"/>
  <c r="AN4" i="1"/>
  <c r="P5" i="3"/>
  <c r="Q5" i="3" s="1"/>
  <c r="P10" i="3"/>
  <c r="Q10" i="3" s="1"/>
  <c r="P9" i="3"/>
  <c r="Q9" i="3" s="1"/>
  <c r="P16" i="3"/>
  <c r="Q16" i="3" s="1"/>
  <c r="P15" i="3"/>
  <c r="Q15" i="3" s="1"/>
  <c r="P14" i="3"/>
  <c r="Q14" i="3" s="1"/>
  <c r="P13" i="3"/>
  <c r="Q13" i="3" s="1"/>
  <c r="AS9" i="3" l="1"/>
  <c r="AT9" i="3" s="1"/>
  <c r="AF17" i="3" s="1"/>
  <c r="AS7" i="3"/>
  <c r="AT7" i="3" s="1"/>
  <c r="AJ12" i="3" s="1"/>
  <c r="AN3" i="1"/>
  <c r="G5" i="3"/>
  <c r="AK2" i="1"/>
  <c r="AN2" i="1" s="1"/>
  <c r="AS8" i="3"/>
  <c r="AT8" i="3" s="1"/>
  <c r="AC17" i="3" s="1"/>
  <c r="E7" i="3"/>
  <c r="F6" i="3"/>
  <c r="G6" i="3" s="1"/>
  <c r="AS6" i="3"/>
  <c r="AT6" i="3" s="1"/>
  <c r="AF12" i="3" s="1"/>
  <c r="D9" i="3"/>
  <c r="C10" i="3"/>
  <c r="X6" i="3"/>
  <c r="Y6" i="3" s="1"/>
  <c r="AS10" i="3"/>
  <c r="AT10" i="3" s="1"/>
  <c r="AJ17" i="3" s="1"/>
  <c r="Z6" i="3" l="1"/>
  <c r="D10" i="3"/>
  <c r="C11" i="3"/>
  <c r="E8" i="3"/>
  <c r="F7" i="3"/>
  <c r="G7" i="3" s="1"/>
  <c r="X7" i="3" l="1"/>
  <c r="Y7" i="3" s="1"/>
  <c r="Y8" i="3" s="1"/>
  <c r="D11" i="3"/>
  <c r="C12" i="3"/>
  <c r="E9" i="3"/>
  <c r="F8" i="3"/>
  <c r="G8" i="3" s="1"/>
  <c r="D12" i="3" l="1"/>
  <c r="C13" i="3"/>
  <c r="E10" i="3"/>
  <c r="F9" i="3"/>
  <c r="G9" i="3" s="1"/>
  <c r="Z7" i="3"/>
  <c r="D13" i="3" l="1"/>
  <c r="C14" i="3"/>
  <c r="E11" i="3"/>
  <c r="F10" i="3"/>
  <c r="G10" i="3" s="1"/>
  <c r="E12" i="3" l="1"/>
  <c r="F11" i="3"/>
  <c r="G11" i="3" s="1"/>
  <c r="D14" i="3"/>
  <c r="C15" i="3"/>
  <c r="D15" i="3" l="1"/>
  <c r="C16" i="3"/>
  <c r="E13" i="3"/>
  <c r="F12" i="3"/>
  <c r="G12" i="3" s="1"/>
  <c r="E14" i="3" l="1"/>
  <c r="F13" i="3"/>
  <c r="G13" i="3" s="1"/>
  <c r="D16" i="3"/>
  <c r="C17" i="3"/>
  <c r="C18" i="3" l="1"/>
  <c r="D17" i="3"/>
  <c r="E15" i="3"/>
  <c r="F14" i="3"/>
  <c r="G14" i="3" s="1"/>
  <c r="E16" i="3" l="1"/>
  <c r="F15" i="3"/>
  <c r="G15" i="3" s="1"/>
  <c r="D18" i="3"/>
  <c r="C19" i="3"/>
  <c r="E17" i="3" l="1"/>
  <c r="F16" i="3"/>
  <c r="G16" i="3" s="1"/>
  <c r="D19" i="3"/>
  <c r="C20" i="3"/>
  <c r="D20" i="3" l="1"/>
  <c r="C21" i="3"/>
  <c r="E18" i="3"/>
  <c r="F17" i="3"/>
  <c r="G17" i="3" s="1"/>
  <c r="C22" i="3" l="1"/>
  <c r="D21" i="3"/>
  <c r="E19" i="3"/>
  <c r="F18" i="3"/>
  <c r="G18" i="3" s="1"/>
  <c r="F19" i="3" l="1"/>
  <c r="G19" i="3" s="1"/>
  <c r="E20" i="3"/>
  <c r="D22" i="3"/>
  <c r="C23" i="3"/>
  <c r="F20" i="3" l="1"/>
  <c r="G20" i="3" s="1"/>
  <c r="E21" i="3"/>
  <c r="D23" i="3"/>
  <c r="C24" i="3"/>
  <c r="F21" i="3" l="1"/>
  <c r="G21" i="3" s="1"/>
  <c r="E22" i="3"/>
  <c r="D24" i="3"/>
  <c r="C25" i="3"/>
  <c r="E23" i="3" l="1"/>
  <c r="F22" i="3"/>
  <c r="G22" i="3" s="1"/>
  <c r="C26" i="3"/>
  <c r="D25" i="3"/>
  <c r="D26" i="3" l="1"/>
  <c r="C27" i="3"/>
  <c r="F23" i="3"/>
  <c r="G23" i="3" s="1"/>
  <c r="E24" i="3"/>
  <c r="C28" i="3" l="1"/>
  <c r="D27" i="3"/>
  <c r="F24" i="3"/>
  <c r="G24" i="3" s="1"/>
  <c r="E25" i="3"/>
  <c r="F25" i="3" l="1"/>
  <c r="G25" i="3" s="1"/>
  <c r="E26" i="3"/>
  <c r="D28" i="3"/>
  <c r="C29" i="3"/>
  <c r="E27" i="3" l="1"/>
  <c r="F26" i="3"/>
  <c r="G26" i="3" s="1"/>
  <c r="C30" i="3"/>
  <c r="D29" i="3"/>
  <c r="D30" i="3" l="1"/>
  <c r="C31" i="3"/>
  <c r="F27" i="3"/>
  <c r="G27" i="3" s="1"/>
  <c r="E28" i="3"/>
  <c r="E29" i="3" l="1"/>
  <c r="F28" i="3"/>
  <c r="G28" i="3" s="1"/>
  <c r="C32" i="3"/>
  <c r="D31" i="3"/>
  <c r="C33" i="3" l="1"/>
  <c r="D32" i="3"/>
  <c r="F29" i="3"/>
  <c r="G29" i="3" s="1"/>
  <c r="E30" i="3"/>
  <c r="E31" i="3" l="1"/>
  <c r="F30" i="3"/>
  <c r="G30" i="3" s="1"/>
  <c r="D33" i="3"/>
  <c r="C34" i="3"/>
  <c r="D34" i="3" s="1"/>
  <c r="F31" i="3" l="1"/>
  <c r="G31" i="3" s="1"/>
  <c r="E32" i="3"/>
  <c r="F32" i="3" l="1"/>
  <c r="G32" i="3" s="1"/>
  <c r="E33" i="3"/>
  <c r="E34" i="3" l="1"/>
  <c r="F34" i="3" s="1"/>
  <c r="G34" i="3" s="1"/>
  <c r="F33" i="3"/>
  <c r="G33"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Satyam</author>
  </authors>
  <commentList>
    <comment ref="AA5" authorId="0" shapeId="0" xr:uid="{00000000-0006-0000-0000-000001000000}">
      <text>
        <r>
          <rPr>
            <sz val="9"/>
            <color indexed="81"/>
            <rFont val="Tahoma"/>
            <family val="2"/>
          </rPr>
          <t>To add more points press 
Alt + Enter</t>
        </r>
      </text>
    </comment>
    <comment ref="U6" authorId="0" shapeId="0" xr:uid="{00000000-0006-0000-0000-000002000000}">
      <text>
        <r>
          <rPr>
            <sz val="8"/>
            <color indexed="81"/>
            <rFont val="Tahoma"/>
            <family val="2"/>
          </rPr>
          <t>To add more points press 
Alt + Enter</t>
        </r>
      </text>
    </comment>
    <comment ref="D27" authorId="0" shapeId="0" xr:uid="{00000000-0006-0000-0000-000003000000}">
      <text>
        <r>
          <rPr>
            <sz val="9"/>
            <color indexed="81"/>
            <rFont val="Tahoma"/>
            <family val="2"/>
          </rPr>
          <t xml:space="preserve">Do not make any changes to these cells.
</t>
        </r>
      </text>
    </comment>
    <comment ref="C35" authorId="0" shapeId="0" xr:uid="{00000000-0006-0000-0000-000004000000}">
      <text>
        <r>
          <rPr>
            <sz val="9"/>
            <color indexed="81"/>
            <rFont val="Tahoma"/>
            <family val="2"/>
          </rPr>
          <t>These factor determine Saving and ROI Calculations</t>
        </r>
      </text>
    </comment>
  </commentList>
</comments>
</file>

<file path=xl/sharedStrings.xml><?xml version="1.0" encoding="utf-8"?>
<sst xmlns="http://schemas.openxmlformats.org/spreadsheetml/2006/main" count="454" uniqueCount="185">
  <si>
    <t>Customer Details</t>
  </si>
  <si>
    <t>Company Details</t>
  </si>
  <si>
    <t>Bill of Material</t>
  </si>
  <si>
    <t>Commercial Offer</t>
  </si>
  <si>
    <t>Pay Back Period</t>
  </si>
  <si>
    <t>Annual Saving</t>
  </si>
  <si>
    <t>Annual Generation</t>
  </si>
  <si>
    <t>Project Details</t>
  </si>
  <si>
    <t>Sr. NO</t>
  </si>
  <si>
    <t>Panel Details</t>
  </si>
  <si>
    <t>Description</t>
  </si>
  <si>
    <t>Price</t>
  </si>
  <si>
    <t>GST Rate</t>
  </si>
  <si>
    <t>GST</t>
  </si>
  <si>
    <t>Total Price</t>
  </si>
  <si>
    <t>Project Cost</t>
  </si>
  <si>
    <t>Sr NO.</t>
  </si>
  <si>
    <t>Particulars</t>
  </si>
  <si>
    <t>Inputs</t>
  </si>
  <si>
    <t>Watt Peak</t>
  </si>
  <si>
    <t>550 Wp</t>
  </si>
  <si>
    <t>System Price</t>
  </si>
  <si>
    <t>Tree Saved</t>
  </si>
  <si>
    <t>Date</t>
  </si>
  <si>
    <t>Company Name</t>
  </si>
  <si>
    <t>No. of Panels</t>
  </si>
  <si>
    <t>28 Nos</t>
  </si>
  <si>
    <t>Additional Charges</t>
  </si>
  <si>
    <t>Co2 Reduction</t>
  </si>
  <si>
    <t>Reference No.</t>
  </si>
  <si>
    <t>Company Address</t>
  </si>
  <si>
    <t>Panel Type</t>
  </si>
  <si>
    <t>Mono Perc Half Cut</t>
  </si>
  <si>
    <t>Net meter liaisoning charges</t>
  </si>
  <si>
    <t>Company Phone</t>
  </si>
  <si>
    <t>Adani/Waaree/Tata</t>
  </si>
  <si>
    <t>Cost to Customer</t>
  </si>
  <si>
    <t>Company Mail</t>
  </si>
  <si>
    <t>Note: Structure with a height of  mm is included in the system price. </t>
  </si>
  <si>
    <t>Company GST</t>
  </si>
  <si>
    <t>Company POC</t>
  </si>
  <si>
    <t>Inverter Details</t>
  </si>
  <si>
    <t>15 kW</t>
  </si>
  <si>
    <t>Growatt/SunGrow/Waaree</t>
  </si>
  <si>
    <t>Three Phase</t>
  </si>
  <si>
    <t>Project Size (kW)</t>
  </si>
  <si>
    <t>Hybrid Inverter</t>
  </si>
  <si>
    <t>Payment Term</t>
  </si>
  <si>
    <t>Customer Name</t>
  </si>
  <si>
    <t>2 Nos</t>
  </si>
  <si>
    <t>Customer Address</t>
  </si>
  <si>
    <t>148 B, Juhu Tara Rd, Airport Area, Juhu, Mumbai, Maharashtra 400049</t>
  </si>
  <si>
    <t>7 Years (Product)</t>
  </si>
  <si>
    <t>Customer Phone</t>
  </si>
  <si>
    <t>Customer Mail</t>
  </si>
  <si>
    <t>abc@xyz.com</t>
  </si>
  <si>
    <t>Cable  Details</t>
  </si>
  <si>
    <t>Polycab/Havells</t>
  </si>
  <si>
    <t>Core 0.4 sqmm</t>
  </si>
  <si>
    <t xml:space="preserve">Core 4 sqmm </t>
  </si>
  <si>
    <t>Consuption Details</t>
  </si>
  <si>
    <t>Bank Details</t>
  </si>
  <si>
    <t>Structure  Details</t>
  </si>
  <si>
    <t>Per kW</t>
  </si>
  <si>
    <t>Total</t>
  </si>
  <si>
    <t>Aluminium</t>
  </si>
  <si>
    <t>Daily Generation (kWh)</t>
  </si>
  <si>
    <t>9' civil work above that pre GI structure with 2 feet</t>
  </si>
  <si>
    <t>Monthly Generation (kWh)</t>
  </si>
  <si>
    <t>Yearly Generation (kWh)</t>
  </si>
  <si>
    <t>Yearly Consumption (kWh)</t>
  </si>
  <si>
    <t>Balance of System</t>
  </si>
  <si>
    <t>Electricity Rate (Rs.)</t>
  </si>
  <si>
    <t xml:space="preserve">Net &amp; Solar Meter: Genus / Secure
DC Cables &amp; Conduits : Havells/Polycab
AC Cables : Havells/Polycab
DCDB: Reputed Make
ACDB: Reputed Make
Termination Accessories: Reputed Make
Earthing (Pits, Strips and Cables): Reputed Make - 3 Nos.
Lightning Arrestor: Reputed Make - 1 Nos.
</t>
  </si>
  <si>
    <t>Terms &amp; Conditions</t>
  </si>
  <si>
    <t>Years Solar Savings</t>
  </si>
  <si>
    <t>Monthly Solar Savings</t>
  </si>
  <si>
    <t>Depriciation Benefit</t>
  </si>
  <si>
    <t>Loan Details</t>
  </si>
  <si>
    <t>Years</t>
  </si>
  <si>
    <t>Grid Tariff</t>
  </si>
  <si>
    <t>Consumption</t>
  </si>
  <si>
    <t>Bill Befor Solar</t>
  </si>
  <si>
    <t>Solar Generation</t>
  </si>
  <si>
    <t>Solar Savings</t>
  </si>
  <si>
    <t>Bill After Solar</t>
  </si>
  <si>
    <t>Factors</t>
  </si>
  <si>
    <t>Details</t>
  </si>
  <si>
    <t>Months</t>
  </si>
  <si>
    <t>Generation (Units)</t>
  </si>
  <si>
    <t>Savings (Rs.)</t>
  </si>
  <si>
    <t>Depreciation
Amount</t>
  </si>
  <si>
    <t>Tax Benefit
(30%)</t>
  </si>
  <si>
    <t>Balance
Amount</t>
  </si>
  <si>
    <t>Tariff Essclation %</t>
  </si>
  <si>
    <t xml:space="preserve">January </t>
  </si>
  <si>
    <t>Solar System Price  </t>
  </si>
  <si>
    <t>Loan Amount  </t>
  </si>
  <si>
    <t>Tenure</t>
  </si>
  <si>
    <t>Rate</t>
  </si>
  <si>
    <t>Interest</t>
  </si>
  <si>
    <t>Principal</t>
  </si>
  <si>
    <t>EMI</t>
  </si>
  <si>
    <t>Consumption Increment %</t>
  </si>
  <si>
    <t>February</t>
  </si>
  <si>
    <t>Generation Degration %</t>
  </si>
  <si>
    <t>March</t>
  </si>
  <si>
    <t>EMI Plans</t>
  </si>
  <si>
    <t>April</t>
  </si>
  <si>
    <t>May</t>
  </si>
  <si>
    <t>June</t>
  </si>
  <si>
    <t>July</t>
  </si>
  <si>
    <t>6 Months</t>
  </si>
  <si>
    <t>12 Months</t>
  </si>
  <si>
    <t>24 Months</t>
  </si>
  <si>
    <t>August</t>
  </si>
  <si>
    <t>September</t>
  </si>
  <si>
    <t>Considered Gen</t>
  </si>
  <si>
    <t>October</t>
  </si>
  <si>
    <t>November</t>
  </si>
  <si>
    <t>December</t>
  </si>
  <si>
    <t>36 Months</t>
  </si>
  <si>
    <t>48 Months</t>
  </si>
  <si>
    <t>60 Months</t>
  </si>
  <si>
    <t>AVG Month Gen</t>
  </si>
  <si>
    <t>Electricity Price</t>
  </si>
  <si>
    <t>Particular</t>
  </si>
  <si>
    <t xml:space="preserve">Variable </t>
  </si>
  <si>
    <t>«</t>
  </si>
  <si>
    <t>»</t>
  </si>
  <si>
    <t>Mono Bifacial</t>
  </si>
  <si>
    <t>Mono Topcon</t>
  </si>
  <si>
    <t>Mono Perc Bifacial</t>
  </si>
  <si>
    <t>Mono Perc</t>
  </si>
  <si>
    <t>Invt Phase</t>
  </si>
  <si>
    <t>Single Phase</t>
  </si>
  <si>
    <t>Not in Use</t>
  </si>
  <si>
    <t>Invt Type</t>
  </si>
  <si>
    <t>String Inverter</t>
  </si>
  <si>
    <t>Micro Inverter</t>
  </si>
  <si>
    <t>Struc Type</t>
  </si>
  <si>
    <t>Elevated</t>
  </si>
  <si>
    <t>Standard</t>
  </si>
  <si>
    <t>Mono Rail</t>
  </si>
  <si>
    <t>RCC</t>
  </si>
  <si>
    <t>High Raise</t>
  </si>
  <si>
    <t>Low Raise</t>
  </si>
  <si>
    <t>Panel Warranty</t>
  </si>
  <si>
    <t>Size (kW)</t>
  </si>
  <si>
    <t>Phase</t>
  </si>
  <si>
    <t>Type</t>
  </si>
  <si>
    <t>Quantity</t>
  </si>
  <si>
    <t>Inverter Warranty</t>
  </si>
  <si>
    <t>Structure Type</t>
  </si>
  <si>
    <t>Structure Description</t>
  </si>
  <si>
    <t>Panel Make/Brand</t>
  </si>
  <si>
    <t>Inverter Make/Brand</t>
  </si>
  <si>
    <t>Cable Make/Brand</t>
  </si>
  <si>
    <t>AC</t>
  </si>
  <si>
    <t>DC</t>
  </si>
  <si>
    <t>BOS Warranty</t>
  </si>
  <si>
    <t>1 Year(s)</t>
  </si>
  <si>
    <t xml:space="preserve">12 Years / 30 Years </t>
  </si>
  <si>
    <t>DISCOM Name</t>
  </si>
  <si>
    <t>MNRE Subsidy</t>
  </si>
  <si>
    <t>Effective Price After Subsidy</t>
  </si>
  <si>
    <t>Company Website</t>
  </si>
  <si>
    <t>Adani</t>
  </si>
  <si>
    <t>Scope of Work</t>
  </si>
  <si>
    <t>Our Scope</t>
  </si>
  <si>
    <t xml:space="preserve">1. Preparation of Engineering Drawing, Design for solar structure and solar power plant as per relevant IS standard 
2. Supply of Solar Modules, Inverters, Structures, Cables, and Balance of Plant . Installation of structure, solar modules, inverter, AC-DC cable, LT panel etc for solar power plant 
3. Installation of monitoring and controlling system for solar power plant 
4. Commissioning of Solar Power Plant and supply of power to LT panel of SGD 
5. Zero Export Device installation
</t>
  </si>
  <si>
    <t>Customer Scope</t>
  </si>
  <si>
    <t xml:space="preserve">1. Providing safe storage place for material during installation &amp; commissioning period.
2. Provide space for to evacuate the solar power
3. Design/ Drawing approval within  days
</t>
  </si>
  <si>
    <t>General Terms &amp; Conditions</t>
  </si>
  <si>
    <t xml:space="preserve">• Packing is included in the offer 
• Transportation charges our scope 
• Civil and digging are at customer scope 
• Prices quotes are firm and valid for 30 days from the date of offer. After this period a reconfirmation from our office should be taken.
• Water supply at site will be provided by customer free of cost during the time of installation and commissioning 
• Closed, covered, locked stores will be provided by customer during the time of installation and commissioning 
• We will start the approval process as soon as we receive order conformation. From the time of confirmation till days before installation day, there will be a nominal cancellation charge of INR, or % of system cost, whichever is higher. 
• Delivery: - weeks from the date of technically and commercially cleared order 
• Force Major clause: this quotation as well as the resulting contract are subject to the standard force majeure condition 
• Include lesining charges
</t>
  </si>
  <si>
    <r>
      <t xml:space="preserve">1. 80% advance payment along with confirmed purchase order.
2. 20% after completion of job.
</t>
    </r>
    <r>
      <rPr>
        <b/>
        <sz val="11"/>
        <color theme="1"/>
        <rFont val="Times New Roman"/>
        <family val="1"/>
      </rPr>
      <t>Payment mode:</t>
    </r>
    <r>
      <rPr>
        <sz val="11"/>
        <color theme="1"/>
        <rFont val="Times New Roman"/>
        <family val="1"/>
      </rPr>
      <t xml:space="preserve"> account payee Cheque or Online.</t>
    </r>
  </si>
  <si>
    <t>Mr. Abhimanyu Singh</t>
  </si>
  <si>
    <t>5 kW</t>
  </si>
  <si>
    <t>ROCKET SALES CORPORATION</t>
  </si>
  <si>
    <t xml:space="preserve">Payment Can Be Paid In Cash Or Cheque:
Bank Details: Bank of India
Account Name - ROCKET SALES CORPORATION
Account No. - 880830110000078
Ifsc Code - BKID0008808
Branch - SNEH NAGAR BRANCH INDORE MP 482001
</t>
  </si>
  <si>
    <t>RSC-08</t>
  </si>
  <si>
    <t>118, KARAS DEV NAGAR,NEAR ITI COLLEGE, Sukhliya, Indore, Madhya Pradesh, 452011</t>
  </si>
  <si>
    <t>Mr. RAJESH KUSHWAH</t>
  </si>
  <si>
    <t>23AOZPK2468M1Z6</t>
  </si>
  <si>
    <t>rocketsales1978@rediffmail.com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</si>
</sst>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quot;₹&quot;\ * #,##0.00_ ;_ &quot;₹&quot;\ * \-#,##0.00_ ;_ &quot;₹&quot;\ * &quot;-&quot;??_ ;_ @_ "/>
    <numFmt numFmtId="165" formatCode="_ [$₹-4009]\ * #,##0.00_ ;_ [$₹-4009]\ * \-#,##0.00_ ;_ [$₹-4009]\ * &quot;-&quot;??_ ;_ @_ "/>
    <numFmt numFmtId="166" formatCode="0.0"/>
    <numFmt numFmtId="167" formatCode="_ [$₹-4009]\ * #,##0_ ;_ [$₹-4009]\ * \-#,##0_ ;_ [$₹-4009]\ * &quot;-&quot;??_ ;_ @_ "/>
    <numFmt numFmtId="168" formatCode="d/m/yyyy"/>
    <numFmt numFmtId="169" formatCode="&quot;₹&quot;\ #,##0.00"/>
    <numFmt numFmtId="170" formatCode="0.0%"/>
    <numFmt numFmtId="171" formatCode="_ &quot;₹&quot;\ * #,##0_ ;_ &quot;₹&quot;\ * \-#,##0_ ;_ &quot;₹&quot;\ * &quot;-&quot;??_ ;_ @_ "/>
  </numFmts>
  <fonts count="21" x14ac:knownFonts="1">
    <font>
      <sz val="11"/>
      <color theme="1"/>
      <name val="Calibri"/>
      <scheme val="minor"/>
    </font>
    <font>
      <sz val="11"/>
      <color theme="1"/>
      <name val="Times New Roman"/>
      <family val="1"/>
    </font>
    <font>
      <b/>
      <sz val="11"/>
      <color theme="1"/>
      <name val="Times New Roman"/>
      <family val="1"/>
    </font>
    <font>
      <sz val="11"/>
      <name val="Calibri"/>
      <family val="2"/>
    </font>
    <font>
      <sz val="11"/>
      <color theme="0"/>
      <name val="Times New Roman"/>
      <family val="1"/>
    </font>
    <font>
      <b/>
      <sz val="11"/>
      <color theme="0"/>
      <name val="Times New Roman"/>
      <family val="1"/>
    </font>
    <font>
      <sz val="12"/>
      <color theme="1"/>
      <name val="Times New Roman"/>
      <family val="1"/>
    </font>
    <font>
      <sz val="14"/>
      <color theme="1"/>
      <name val="Times New Roman"/>
      <family val="1"/>
    </font>
    <font>
      <b/>
      <sz val="18"/>
      <color theme="1"/>
      <name val="Times New Roman"/>
      <family val="1"/>
    </font>
    <font>
      <b/>
      <sz val="18"/>
      <color theme="0"/>
      <name val="Times New Roman"/>
      <family val="1"/>
    </font>
    <font>
      <sz val="9"/>
      <color theme="1"/>
      <name val="Times New Roman"/>
      <family val="1"/>
    </font>
    <font>
      <sz val="10"/>
      <color theme="0"/>
      <name val="Times New Roman"/>
      <family val="1"/>
    </font>
    <font>
      <sz val="11"/>
      <color theme="1"/>
      <name val="Calibri"/>
      <family val="2"/>
      <scheme val="minor"/>
    </font>
    <font>
      <sz val="11"/>
      <color rgb="FF000000"/>
      <name val="Calibri"/>
      <family val="2"/>
    </font>
    <font>
      <sz val="10"/>
      <color theme="1"/>
      <name val="Times New Roman"/>
      <family val="1"/>
    </font>
    <font>
      <u/>
      <sz val="11"/>
      <color theme="10"/>
      <name val="Calibri"/>
      <family val="2"/>
      <scheme val="minor"/>
    </font>
    <font>
      <sz val="11"/>
      <color theme="1"/>
      <name val="Calibri"/>
      <family val="2"/>
      <scheme val="minor"/>
    </font>
    <font>
      <sz val="9"/>
      <color indexed="81"/>
      <name val="Tahoma"/>
      <family val="2"/>
    </font>
    <font>
      <sz val="8"/>
      <color indexed="81"/>
      <name val="Tahoma"/>
      <family val="2"/>
    </font>
    <font>
      <sz val="11"/>
      <name val="Times New Roman"/>
      <family val="1"/>
    </font>
    <font>
      <u/>
      <sz val="11"/>
      <color theme="10"/>
      <name val="Times New Roman"/>
      <family val="1"/>
    </font>
  </fonts>
  <fills count="22">
    <fill>
      <patternFill patternType="none"/>
    </fill>
    <fill>
      <patternFill patternType="gray125"/>
    </fill>
    <fill>
      <patternFill patternType="solid">
        <fgColor rgb="FFFFFF00"/>
        <bgColor rgb="FFFFFF00"/>
      </patternFill>
    </fill>
    <fill>
      <patternFill patternType="solid">
        <fgColor rgb="FFFFC000"/>
        <bgColor rgb="FFFFC000"/>
      </patternFill>
    </fill>
    <fill>
      <patternFill patternType="solid">
        <fgColor rgb="FF92D050"/>
        <bgColor rgb="FF92D050"/>
      </patternFill>
    </fill>
    <fill>
      <patternFill patternType="solid">
        <fgColor rgb="FFE6E6E6"/>
        <bgColor rgb="FFE6E6E6"/>
      </patternFill>
    </fill>
    <fill>
      <patternFill patternType="solid">
        <fgColor theme="0"/>
        <bgColor theme="0"/>
      </patternFill>
    </fill>
    <fill>
      <patternFill patternType="solid">
        <fgColor rgb="FF548135"/>
        <bgColor rgb="FF548135"/>
      </patternFill>
    </fill>
    <fill>
      <patternFill patternType="solid">
        <fgColor rgb="FF0070C0"/>
        <bgColor rgb="FF0070C0"/>
      </patternFill>
    </fill>
    <fill>
      <patternFill patternType="solid">
        <fgColor rgb="FFF2F2F2"/>
        <bgColor rgb="FFF2F2F2"/>
      </patternFill>
    </fill>
    <fill>
      <patternFill patternType="solid">
        <fgColor rgb="FF00B050"/>
        <bgColor rgb="FF00B050"/>
      </patternFill>
    </fill>
    <fill>
      <patternFill patternType="solid">
        <fgColor theme="5"/>
        <bgColor theme="5"/>
      </patternFill>
    </fill>
    <fill>
      <patternFill patternType="solid">
        <fgColor rgb="FF00B0F0"/>
        <bgColor rgb="FF00B0F0"/>
      </patternFill>
    </fill>
    <fill>
      <patternFill patternType="solid">
        <fgColor theme="5" tint="0.59999389629810485"/>
        <bgColor indexed="64"/>
      </patternFill>
    </fill>
    <fill>
      <patternFill patternType="solid">
        <fgColor theme="7" tint="0.39997558519241921"/>
        <bgColor indexed="64"/>
      </patternFill>
    </fill>
    <fill>
      <patternFill patternType="solid">
        <fgColor rgb="FF33CCFF"/>
        <bgColor rgb="FF92D050"/>
      </patternFill>
    </fill>
    <fill>
      <patternFill patternType="solid">
        <fgColor theme="0" tint="-4.9989318521683403E-2"/>
        <bgColor indexed="64"/>
      </patternFill>
    </fill>
    <fill>
      <patternFill patternType="solid">
        <fgColor rgb="FF33CCFF"/>
        <bgColor indexed="64"/>
      </patternFill>
    </fill>
    <fill>
      <patternFill patternType="solid">
        <fgColor rgb="FFFF0000"/>
        <bgColor indexed="64"/>
      </patternFill>
    </fill>
    <fill>
      <patternFill patternType="solid">
        <fgColor rgb="FFFFC000"/>
        <bgColor rgb="FFFFD965"/>
      </patternFill>
    </fill>
    <fill>
      <patternFill patternType="solid">
        <fgColor rgb="FF0070C0"/>
        <bgColor rgb="FF92D050"/>
      </patternFill>
    </fill>
    <fill>
      <patternFill patternType="solid">
        <fgColor rgb="FF0070C0"/>
        <bgColor indexed="64"/>
      </patternFill>
    </fill>
  </fills>
  <borders count="23">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bottom/>
      <diagonal/>
    </border>
    <border>
      <left/>
      <right/>
      <top/>
      <bottom/>
      <diagonal/>
    </border>
    <border>
      <left/>
      <right/>
      <top/>
      <bottom/>
      <diagonal/>
    </border>
    <border>
      <left style="thin">
        <color rgb="FF000000"/>
      </left>
      <right style="thin">
        <color rgb="FF000000"/>
      </right>
      <top/>
      <bottom style="thin">
        <color rgb="FF000000"/>
      </bottom>
      <diagonal/>
    </border>
    <border>
      <left/>
      <right/>
      <top/>
      <bottom/>
      <diagonal/>
    </border>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164" fontId="12" fillId="0" borderId="0" applyFont="0" applyFill="0" applyBorder="0" applyAlignment="0" applyProtection="0"/>
    <xf numFmtId="0" fontId="15" fillId="0" borderId="0" applyNumberFormat="0" applyFill="0" applyBorder="0" applyAlignment="0" applyProtection="0"/>
    <xf numFmtId="9" fontId="16" fillId="0" borderId="0" applyFont="0" applyFill="0" applyBorder="0" applyAlignment="0" applyProtection="0"/>
  </cellStyleXfs>
  <cellXfs count="147">
    <xf numFmtId="0" fontId="0" fillId="0" borderId="0" xfId="0"/>
    <xf numFmtId="0" fontId="1" fillId="0" borderId="0" xfId="0" applyFont="1"/>
    <xf numFmtId="0" fontId="1" fillId="0" borderId="11" xfId="0" applyFont="1" applyBorder="1"/>
    <xf numFmtId="0" fontId="1" fillId="0" borderId="0" xfId="0" applyFont="1" applyAlignment="1">
      <alignment vertical="top"/>
    </xf>
    <xf numFmtId="0" fontId="1" fillId="6" borderId="16" xfId="0" applyFont="1" applyFill="1" applyBorder="1"/>
    <xf numFmtId="0" fontId="1" fillId="2" borderId="11" xfId="0" applyFont="1" applyFill="1" applyBorder="1"/>
    <xf numFmtId="170" fontId="1" fillId="0" borderId="11" xfId="0" applyNumberFormat="1" applyFont="1" applyBorder="1"/>
    <xf numFmtId="0" fontId="1" fillId="9" borderId="11" xfId="0" applyFont="1" applyFill="1" applyBorder="1"/>
    <xf numFmtId="167" fontId="1" fillId="9" borderId="11" xfId="0" applyNumberFormat="1" applyFont="1" applyFill="1" applyBorder="1"/>
    <xf numFmtId="164" fontId="2" fillId="3" borderId="16" xfId="0" applyNumberFormat="1" applyFont="1" applyFill="1" applyBorder="1"/>
    <xf numFmtId="167" fontId="1" fillId="0" borderId="11" xfId="0" applyNumberFormat="1" applyFont="1" applyBorder="1"/>
    <xf numFmtId="10" fontId="1" fillId="0" borderId="0" xfId="0" applyNumberFormat="1" applyFont="1"/>
    <xf numFmtId="164" fontId="1" fillId="0" borderId="0" xfId="0" applyNumberFormat="1" applyFont="1"/>
    <xf numFmtId="0" fontId="8" fillId="6" borderId="16" xfId="0" applyFont="1" applyFill="1" applyBorder="1" applyAlignment="1">
      <alignment horizontal="center" vertical="center"/>
    </xf>
    <xf numFmtId="0" fontId="2" fillId="6" borderId="16" xfId="0" applyFont="1" applyFill="1" applyBorder="1" applyAlignment="1">
      <alignment vertical="center"/>
    </xf>
    <xf numFmtId="164" fontId="1" fillId="6" borderId="16" xfId="0" applyNumberFormat="1" applyFont="1" applyFill="1" applyBorder="1"/>
    <xf numFmtId="0" fontId="2" fillId="11" borderId="11" xfId="0" applyFont="1" applyFill="1" applyBorder="1"/>
    <xf numFmtId="167" fontId="2" fillId="11" borderId="11" xfId="0" applyNumberFormat="1" applyFont="1" applyFill="1" applyBorder="1"/>
    <xf numFmtId="0" fontId="1" fillId="3" borderId="11" xfId="0" applyFont="1" applyFill="1" applyBorder="1"/>
    <xf numFmtId="0" fontId="2" fillId="0" borderId="0" xfId="0" applyFont="1"/>
    <xf numFmtId="0" fontId="7" fillId="0" borderId="0" xfId="0" applyFont="1" applyAlignment="1">
      <alignment vertical="center"/>
    </xf>
    <xf numFmtId="0" fontId="7" fillId="0" borderId="0" xfId="0" applyFont="1"/>
    <xf numFmtId="0" fontId="7" fillId="0" borderId="0" xfId="0" applyFont="1" applyAlignment="1">
      <alignment vertical="top"/>
    </xf>
    <xf numFmtId="0" fontId="4" fillId="8" borderId="11" xfId="0" applyFont="1" applyFill="1" applyBorder="1"/>
    <xf numFmtId="0" fontId="10" fillId="0" borderId="0" xfId="0" applyFont="1" applyAlignment="1">
      <alignment vertical="top"/>
    </xf>
    <xf numFmtId="0" fontId="11" fillId="7" borderId="11" xfId="0" applyFont="1" applyFill="1" applyBorder="1" applyAlignment="1">
      <alignment horizontal="left" vertical="center"/>
    </xf>
    <xf numFmtId="0" fontId="1" fillId="12" borderId="16" xfId="0" applyFont="1" applyFill="1" applyBorder="1"/>
    <xf numFmtId="0" fontId="1" fillId="12" borderId="11" xfId="0" applyFont="1" applyFill="1" applyBorder="1"/>
    <xf numFmtId="0" fontId="7" fillId="0" borderId="0" xfId="0" applyFont="1" applyAlignment="1">
      <alignment horizontal="left" vertical="center"/>
    </xf>
    <xf numFmtId="0" fontId="1" fillId="13" borderId="11" xfId="0" applyFont="1" applyFill="1" applyBorder="1"/>
    <xf numFmtId="0" fontId="1" fillId="14" borderId="11" xfId="0" applyFont="1" applyFill="1" applyBorder="1"/>
    <xf numFmtId="0" fontId="1" fillId="14" borderId="0" xfId="0" applyFont="1" applyFill="1"/>
    <xf numFmtId="0" fontId="1" fillId="0" borderId="15" xfId="0" applyFont="1" applyBorder="1" applyAlignment="1">
      <alignment vertical="center"/>
    </xf>
    <xf numFmtId="171" fontId="2" fillId="0" borderId="11" xfId="1" applyNumberFormat="1" applyFont="1" applyBorder="1"/>
    <xf numFmtId="0" fontId="6" fillId="0" borderId="11" xfId="0" applyFont="1" applyBorder="1" applyAlignment="1">
      <alignment horizontal="center" vertical="center"/>
    </xf>
    <xf numFmtId="164" fontId="6" fillId="0" borderId="11" xfId="1" applyFont="1" applyFill="1" applyBorder="1" applyAlignment="1">
      <alignment vertical="center"/>
    </xf>
    <xf numFmtId="167" fontId="6" fillId="0" borderId="11" xfId="0" applyNumberFormat="1" applyFont="1" applyBorder="1" applyAlignment="1">
      <alignment vertical="center"/>
    </xf>
    <xf numFmtId="1" fontId="6" fillId="0" borderId="11" xfId="0" applyNumberFormat="1" applyFont="1" applyBorder="1" applyAlignment="1">
      <alignment vertical="center"/>
    </xf>
    <xf numFmtId="0" fontId="6" fillId="16" borderId="11" xfId="0" applyFont="1" applyFill="1" applyBorder="1" applyAlignment="1">
      <alignment horizontal="center" vertical="center"/>
    </xf>
    <xf numFmtId="164" fontId="6" fillId="16" borderId="11" xfId="1" applyFont="1" applyFill="1" applyBorder="1" applyAlignment="1">
      <alignment vertical="center"/>
    </xf>
    <xf numFmtId="167" fontId="6" fillId="16" borderId="11" xfId="0" applyNumberFormat="1" applyFont="1" applyFill="1" applyBorder="1" applyAlignment="1">
      <alignment vertical="center"/>
    </xf>
    <xf numFmtId="1" fontId="6" fillId="16" borderId="11" xfId="0" applyNumberFormat="1" applyFont="1" applyFill="1" applyBorder="1" applyAlignment="1">
      <alignment vertical="center"/>
    </xf>
    <xf numFmtId="0" fontId="14" fillId="15" borderId="11" xfId="0" applyFont="1" applyFill="1" applyBorder="1" applyAlignment="1">
      <alignment horizontal="center" vertical="center"/>
    </xf>
    <xf numFmtId="0" fontId="14" fillId="15" borderId="11" xfId="0" applyFont="1" applyFill="1" applyBorder="1" applyAlignment="1">
      <alignment horizontal="center" vertical="center" wrapText="1"/>
    </xf>
    <xf numFmtId="1" fontId="1" fillId="0" borderId="11" xfId="0" applyNumberFormat="1" applyFont="1" applyBorder="1"/>
    <xf numFmtId="171" fontId="1" fillId="0" borderId="11" xfId="0" applyNumberFormat="1" applyFont="1" applyBorder="1"/>
    <xf numFmtId="0" fontId="1" fillId="16" borderId="11" xfId="0" applyFont="1" applyFill="1" applyBorder="1"/>
    <xf numFmtId="1" fontId="1" fillId="16" borderId="11" xfId="0" applyNumberFormat="1" applyFont="1" applyFill="1" applyBorder="1"/>
    <xf numFmtId="171" fontId="1" fillId="16" borderId="11" xfId="0" applyNumberFormat="1" applyFont="1" applyFill="1" applyBorder="1"/>
    <xf numFmtId="0" fontId="14" fillId="19" borderId="11" xfId="0" applyFont="1" applyFill="1" applyBorder="1" applyAlignment="1">
      <alignment horizontal="center" vertical="center"/>
    </xf>
    <xf numFmtId="0" fontId="14" fillId="19" borderId="11" xfId="0" applyFont="1" applyFill="1" applyBorder="1" applyAlignment="1">
      <alignment horizontal="center" vertical="center" wrapText="1"/>
    </xf>
    <xf numFmtId="165" fontId="1" fillId="0" borderId="0" xfId="0" applyNumberFormat="1" applyFont="1"/>
    <xf numFmtId="166" fontId="1" fillId="0" borderId="0" xfId="0" applyNumberFormat="1" applyFont="1"/>
    <xf numFmtId="167" fontId="1" fillId="0" borderId="0" xfId="0" applyNumberFormat="1" applyFont="1"/>
    <xf numFmtId="0" fontId="1" fillId="0" borderId="11" xfId="0" applyFont="1" applyBorder="1" applyAlignment="1">
      <alignment horizontal="center" vertical="center"/>
    </xf>
    <xf numFmtId="0" fontId="1" fillId="5" borderId="11" xfId="0" applyFont="1" applyFill="1" applyBorder="1" applyAlignment="1">
      <alignment horizontal="left"/>
    </xf>
    <xf numFmtId="10" fontId="1" fillId="5" borderId="11" xfId="0" applyNumberFormat="1" applyFont="1" applyFill="1" applyBorder="1" applyAlignment="1">
      <alignment horizontal="left"/>
    </xf>
    <xf numFmtId="1" fontId="1" fillId="5" borderId="11" xfId="0" applyNumberFormat="1" applyFont="1" applyFill="1" applyBorder="1" applyAlignment="1">
      <alignment horizontal="right"/>
    </xf>
    <xf numFmtId="1" fontId="1" fillId="0" borderId="0" xfId="0" applyNumberFormat="1" applyFont="1"/>
    <xf numFmtId="0" fontId="1" fillId="0" borderId="11" xfId="0" applyFont="1" applyBorder="1" applyAlignment="1">
      <alignment vertical="center"/>
    </xf>
    <xf numFmtId="0" fontId="1" fillId="0" borderId="0" xfId="0" applyFont="1" applyAlignment="1">
      <alignment vertical="center"/>
    </xf>
    <xf numFmtId="0" fontId="1" fillId="0" borderId="11" xfId="0" applyFont="1" applyBorder="1" applyAlignment="1">
      <alignment horizontal="left"/>
    </xf>
    <xf numFmtId="0" fontId="1" fillId="0" borderId="11" xfId="0" applyFont="1" applyBorder="1" applyAlignment="1">
      <alignment horizontal="right"/>
    </xf>
    <xf numFmtId="0" fontId="1" fillId="5" borderId="15" xfId="0" applyFont="1" applyFill="1" applyBorder="1" applyAlignment="1">
      <alignment horizontal="left"/>
    </xf>
    <xf numFmtId="0" fontId="1" fillId="5" borderId="15" xfId="0" applyFont="1" applyFill="1" applyBorder="1" applyAlignment="1">
      <alignment horizontal="right"/>
    </xf>
    <xf numFmtId="1" fontId="1" fillId="0" borderId="11" xfId="0" applyNumberFormat="1" applyFont="1" applyBorder="1" applyAlignment="1">
      <alignment horizontal="right"/>
    </xf>
    <xf numFmtId="0" fontId="1" fillId="0" borderId="0" xfId="0" applyFont="1" applyAlignment="1">
      <alignment horizontal="center" vertical="center"/>
    </xf>
    <xf numFmtId="0" fontId="20" fillId="0" borderId="11" xfId="2" applyFont="1" applyBorder="1"/>
    <xf numFmtId="0" fontId="1" fillId="6" borderId="0" xfId="0" applyFont="1" applyFill="1" applyAlignment="1">
      <alignment vertical="top" wrapText="1"/>
    </xf>
    <xf numFmtId="0" fontId="1" fillId="6" borderId="0" xfId="0" applyFont="1" applyFill="1"/>
    <xf numFmtId="0" fontId="1" fillId="0" borderId="21" xfId="0" applyFont="1" applyBorder="1"/>
    <xf numFmtId="0" fontId="2" fillId="4" borderId="16" xfId="0" applyFont="1" applyFill="1" applyBorder="1" applyAlignment="1">
      <alignment vertical="center"/>
    </xf>
    <xf numFmtId="0" fontId="1" fillId="4" borderId="16" xfId="0" applyFont="1" applyFill="1" applyBorder="1" applyAlignment="1">
      <alignment vertical="center"/>
    </xf>
    <xf numFmtId="0" fontId="4" fillId="4" borderId="16" xfId="0" applyFont="1" applyFill="1" applyBorder="1" applyAlignment="1">
      <alignment vertical="center"/>
    </xf>
    <xf numFmtId="0" fontId="2" fillId="4" borderId="16" xfId="0" applyFont="1" applyFill="1" applyBorder="1" applyAlignment="1">
      <alignment horizontal="left" vertical="center"/>
    </xf>
    <xf numFmtId="0" fontId="1" fillId="18" borderId="11" xfId="0" applyFont="1" applyFill="1" applyBorder="1"/>
    <xf numFmtId="169" fontId="1" fillId="0" borderId="11" xfId="0" applyNumberFormat="1" applyFont="1" applyBorder="1"/>
    <xf numFmtId="0" fontId="1" fillId="0" borderId="0" xfId="0" applyFont="1" applyAlignment="1">
      <alignment vertical="top" wrapText="1"/>
    </xf>
    <xf numFmtId="0" fontId="5" fillId="0" borderId="0" xfId="0" applyFont="1" applyAlignment="1">
      <alignment vertical="center"/>
    </xf>
    <xf numFmtId="0" fontId="5" fillId="0" borderId="0" xfId="0" applyFont="1" applyAlignment="1">
      <alignment vertical="top"/>
    </xf>
    <xf numFmtId="0" fontId="1" fillId="0" borderId="21" xfId="0" applyFont="1" applyBorder="1" applyAlignment="1">
      <alignment vertical="top" wrapText="1"/>
    </xf>
    <xf numFmtId="0" fontId="1" fillId="0" borderId="22" xfId="0" applyFont="1" applyBorder="1"/>
    <xf numFmtId="0" fontId="4" fillId="8" borderId="11" xfId="0" applyFont="1" applyFill="1" applyBorder="1" applyAlignment="1">
      <alignment horizontal="center" vertical="center" wrapText="1"/>
    </xf>
    <xf numFmtId="0" fontId="5" fillId="20" borderId="11" xfId="0" applyFont="1" applyFill="1" applyBorder="1" applyAlignment="1">
      <alignment horizontal="center" vertical="center"/>
    </xf>
    <xf numFmtId="0" fontId="2" fillId="4" borderId="1" xfId="0" applyFont="1" applyFill="1" applyBorder="1" applyAlignment="1">
      <alignment horizontal="center" vertical="center"/>
    </xf>
    <xf numFmtId="0" fontId="19" fillId="0" borderId="2" xfId="0" applyFont="1" applyBorder="1"/>
    <xf numFmtId="0" fontId="19" fillId="0" borderId="3" xfId="0" applyFont="1" applyBorder="1"/>
    <xf numFmtId="0" fontId="19" fillId="0" borderId="4" xfId="0" applyFont="1" applyBorder="1"/>
    <xf numFmtId="0" fontId="19" fillId="0" borderId="5" xfId="0" applyFont="1" applyBorder="1"/>
    <xf numFmtId="0" fontId="19" fillId="0" borderId="6" xfId="0" applyFont="1" applyBorder="1"/>
    <xf numFmtId="0" fontId="2" fillId="0" borderId="21" xfId="0" applyFont="1" applyBorder="1" applyAlignment="1">
      <alignment horizontal="left"/>
    </xf>
    <xf numFmtId="0" fontId="1" fillId="0" borderId="21" xfId="0" applyFont="1" applyBorder="1" applyAlignment="1">
      <alignment horizontal="left" vertical="top" wrapText="1"/>
    </xf>
    <xf numFmtId="0" fontId="2" fillId="0" borderId="21" xfId="0" applyFont="1" applyBorder="1" applyAlignment="1">
      <alignment horizontal="left" vertical="center"/>
    </xf>
    <xf numFmtId="0" fontId="1" fillId="0" borderId="0" xfId="0" applyFont="1" applyAlignment="1">
      <alignment horizontal="left" vertical="top" wrapText="1"/>
    </xf>
    <xf numFmtId="0" fontId="1" fillId="0" borderId="7" xfId="0" applyFont="1" applyBorder="1" applyAlignment="1">
      <alignment horizontal="right" vertical="center"/>
    </xf>
    <xf numFmtId="0" fontId="19" fillId="0" borderId="9" xfId="0" applyFont="1" applyBorder="1"/>
    <xf numFmtId="168" fontId="1" fillId="0" borderId="7" xfId="0" applyNumberFormat="1" applyFont="1" applyBorder="1" applyAlignment="1">
      <alignment horizontal="right" vertical="center"/>
    </xf>
    <xf numFmtId="0" fontId="1" fillId="0" borderId="7" xfId="0" applyFont="1" applyBorder="1" applyAlignment="1">
      <alignment horizontal="center"/>
    </xf>
    <xf numFmtId="0" fontId="1" fillId="2" borderId="7" xfId="0" applyFont="1" applyFill="1" applyBorder="1" applyAlignment="1">
      <alignment horizontal="center"/>
    </xf>
    <xf numFmtId="0" fontId="19" fillId="0" borderId="8" xfId="0" applyFont="1" applyBorder="1"/>
    <xf numFmtId="0" fontId="1" fillId="0" borderId="1" xfId="0" applyFont="1" applyBorder="1" applyAlignment="1">
      <alignment horizontal="left" vertical="top" wrapText="1"/>
    </xf>
    <xf numFmtId="0" fontId="19" fillId="0" borderId="17" xfId="0" applyFont="1" applyBorder="1"/>
    <xf numFmtId="0" fontId="1" fillId="0" borderId="0" xfId="0" applyFont="1"/>
    <xf numFmtId="0" fontId="19" fillId="0" borderId="18" xfId="0" applyFont="1" applyBorder="1"/>
    <xf numFmtId="0" fontId="19" fillId="0" borderId="21" xfId="0" applyFont="1" applyBorder="1"/>
    <xf numFmtId="0" fontId="2" fillId="0" borderId="22" xfId="0" applyFont="1" applyBorder="1" applyAlignment="1">
      <alignment horizontal="left"/>
    </xf>
    <xf numFmtId="0" fontId="19" fillId="0" borderId="22" xfId="0" applyFont="1" applyBorder="1"/>
    <xf numFmtId="0" fontId="5" fillId="20" borderId="7" xfId="0" applyFont="1" applyFill="1" applyBorder="1" applyAlignment="1">
      <alignment horizontal="center"/>
    </xf>
    <xf numFmtId="0" fontId="4" fillId="21" borderId="9" xfId="0" applyFont="1" applyFill="1" applyBorder="1"/>
    <xf numFmtId="0" fontId="1" fillId="0" borderId="0" xfId="0" applyFont="1" applyAlignment="1">
      <alignment horizontal="left" vertical="center" wrapText="1"/>
    </xf>
    <xf numFmtId="0" fontId="1" fillId="0" borderId="0" xfId="0" applyFont="1" applyAlignment="1">
      <alignment horizontal="left" vertical="center"/>
    </xf>
    <xf numFmtId="0" fontId="1" fillId="0" borderId="15" xfId="0" applyFont="1" applyBorder="1" applyAlignment="1">
      <alignment horizontal="left" vertical="center"/>
    </xf>
    <xf numFmtId="0" fontId="19" fillId="0" borderId="19" xfId="0" applyFont="1" applyBorder="1"/>
    <xf numFmtId="0" fontId="1" fillId="0" borderId="15" xfId="0" applyFont="1" applyBorder="1" applyAlignment="1">
      <alignment horizontal="left" vertical="top" wrapText="1"/>
    </xf>
    <xf numFmtId="0" fontId="1" fillId="0" borderId="22" xfId="0" applyFont="1" applyBorder="1" applyAlignment="1">
      <alignment horizontal="left" vertical="top" wrapText="1"/>
    </xf>
    <xf numFmtId="0" fontId="2"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1" fillId="3" borderId="7" xfId="0" applyFont="1" applyFill="1" applyBorder="1" applyAlignment="1">
      <alignment horizontal="center"/>
    </xf>
    <xf numFmtId="0" fontId="19" fillId="0" borderId="10" xfId="0" applyFont="1" applyBorder="1"/>
    <xf numFmtId="0" fontId="1" fillId="0" borderId="22" xfId="0" applyFont="1" applyBorder="1" applyAlignment="1">
      <alignment horizontal="left" vertical="center"/>
    </xf>
    <xf numFmtId="0" fontId="1" fillId="0" borderId="7" xfId="0" applyFont="1" applyBorder="1" applyAlignment="1">
      <alignment horizontal="left" vertical="center"/>
    </xf>
    <xf numFmtId="0" fontId="1" fillId="0" borderId="9" xfId="0" applyFont="1" applyBorder="1" applyAlignment="1">
      <alignment horizontal="left" vertical="center"/>
    </xf>
    <xf numFmtId="0" fontId="20" fillId="0" borderId="7" xfId="0" applyFont="1" applyBorder="1" applyAlignment="1">
      <alignment horizontal="right" vertical="center"/>
    </xf>
    <xf numFmtId="2" fontId="1" fillId="0" borderId="7" xfId="0" applyNumberFormat="1" applyFont="1" applyBorder="1" applyAlignment="1">
      <alignment horizontal="right" vertical="center"/>
    </xf>
    <xf numFmtId="0" fontId="5" fillId="20" borderId="12" xfId="0" applyFont="1" applyFill="1" applyBorder="1" applyAlignment="1">
      <alignment horizontal="center"/>
    </xf>
    <xf numFmtId="0" fontId="4" fillId="21" borderId="13" xfId="0" applyFont="1" applyFill="1" applyBorder="1"/>
    <xf numFmtId="0" fontId="4" fillId="21" borderId="14" xfId="0" applyFont="1" applyFill="1" applyBorder="1"/>
    <xf numFmtId="0" fontId="1" fillId="0" borderId="15" xfId="0" applyFont="1" applyBorder="1" applyAlignment="1">
      <alignment horizontal="center" vertical="center"/>
    </xf>
    <xf numFmtId="0" fontId="1" fillId="2" borderId="22" xfId="0" applyFont="1" applyFill="1" applyBorder="1" applyAlignment="1">
      <alignment horizontal="center"/>
    </xf>
    <xf numFmtId="170" fontId="1" fillId="0" borderId="22" xfId="3" applyNumberFormat="1" applyFont="1" applyFill="1" applyBorder="1" applyAlignment="1">
      <alignment horizontal="center"/>
    </xf>
    <xf numFmtId="0" fontId="1" fillId="2" borderId="22" xfId="0" applyFont="1" applyFill="1" applyBorder="1" applyAlignment="1">
      <alignment horizontal="left"/>
    </xf>
    <xf numFmtId="0" fontId="1" fillId="0" borderId="22" xfId="0" applyFont="1" applyBorder="1" applyAlignment="1">
      <alignment horizontal="left"/>
    </xf>
    <xf numFmtId="0" fontId="2" fillId="0" borderId="0" xfId="0" applyFont="1" applyAlignment="1">
      <alignment horizontal="center" vertical="center"/>
    </xf>
    <xf numFmtId="0" fontId="0" fillId="0" borderId="0" xfId="0"/>
    <xf numFmtId="0" fontId="5" fillId="10" borderId="20" xfId="0" applyFont="1" applyFill="1" applyBorder="1" applyAlignment="1">
      <alignment horizontal="left" vertical="center"/>
    </xf>
    <xf numFmtId="0" fontId="3" fillId="0" borderId="21" xfId="0" applyFont="1" applyBorder="1"/>
    <xf numFmtId="0" fontId="8" fillId="3" borderId="1" xfId="0" applyFont="1" applyFill="1" applyBorder="1" applyAlignment="1">
      <alignment horizontal="center" vertic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2" fillId="15" borderId="7" xfId="0" applyFont="1" applyFill="1" applyBorder="1" applyAlignment="1">
      <alignment horizontal="center"/>
    </xf>
    <xf numFmtId="0" fontId="3" fillId="17" borderId="9" xfId="0" applyFont="1" applyFill="1" applyBorder="1"/>
    <xf numFmtId="0" fontId="2" fillId="3" borderId="20" xfId="0" applyFont="1" applyFill="1" applyBorder="1" applyAlignment="1">
      <alignment horizontal="center" vertical="center"/>
    </xf>
    <xf numFmtId="171" fontId="9" fillId="10" borderId="1" xfId="0" applyNumberFormat="1" applyFont="1" applyFill="1" applyBorder="1" applyAlignment="1">
      <alignment horizontal="center" vertical="center"/>
    </xf>
    <xf numFmtId="0" fontId="15" fillId="0" borderId="11" xfId="2" applyBorder="1"/>
  </cellXfs>
  <cellStyles count="4">
    <cellStyle name="Currency" xfId="1" builtinId="4"/>
    <cellStyle name="Hyperlink" xfId="2" builtinId="8"/>
    <cellStyle name="Normal" xfId="0" builtinId="0"/>
    <cellStyle name="Percent" xfId="3" builtinId="5"/>
  </cellStyles>
  <dxfs count="0"/>
  <tableStyles count="0" defaultTableStyle="TableStyleMedium2" defaultPivotStyle="PivotStyleLight16"/>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cap="none" spc="0" normalizeH="0" baseline="0">
                <a:solidFill>
                  <a:schemeClr val="tx1">
                    <a:lumMod val="65000"/>
                    <a:lumOff val="35000"/>
                  </a:schemeClr>
                </a:solidFill>
                <a:latin typeface="Times New Roman" panose="02020603050405020304" pitchFamily="18" charset="0"/>
                <a:ea typeface="+mj-ea"/>
                <a:cs typeface="Times New Roman" panose="02020603050405020304" pitchFamily="18" charset="0"/>
              </a:defRPr>
            </a:pPr>
            <a:r>
              <a:rPr lang="en-IN" sz="1600"/>
              <a:t>Bill Before &amp; After Solar</a:t>
            </a:r>
          </a:p>
        </c:rich>
      </c:tx>
      <c:overlay val="0"/>
      <c:spPr>
        <a:noFill/>
        <a:ln>
          <a:noFill/>
        </a:ln>
        <a:effectLst/>
      </c:spPr>
    </c:title>
    <c:autoTitleDeleted val="0"/>
    <c:plotArea>
      <c:layout/>
      <c:barChart>
        <c:barDir val="col"/>
        <c:grouping val="clustered"/>
        <c:varyColors val="1"/>
        <c:ser>
          <c:idx val="0"/>
          <c:order val="0"/>
          <c:tx>
            <c:v>Bill Befor Solar</c:v>
          </c:tx>
          <c:spPr>
            <a:solidFill>
              <a:srgbClr val="5B9BD5"/>
            </a:solidFill>
            <a:ln>
              <a:noFill/>
            </a:ln>
            <a:effectLst/>
          </c:spPr>
          <c:invertIfNegative val="1"/>
          <c:val>
            <c:numRef>
              <c:f>'Savings &amp; Graph'!$D$5:$D$34</c:f>
              <c:numCache>
                <c:formatCode>_ [$₹-4009]\ * #,##0_ ;_ [$₹-4009]\ * \-#,##0_ ;_ [$₹-4009]\ * "-"??_ ;_ @_ </c:formatCode>
                <c:ptCount val="30"/>
                <c:pt idx="0">
                  <c:v>275000</c:v>
                </c:pt>
                <c:pt idx="1">
                  <c:v>281916.25</c:v>
                </c:pt>
                <c:pt idx="2">
                  <c:v>289006.44368749997</c:v>
                </c:pt>
                <c:pt idx="3">
                  <c:v>296274.95574624062</c:v>
                </c:pt>
                <c:pt idx="4">
                  <c:v>303726.27088325855</c:v>
                </c:pt>
                <c:pt idx="5">
                  <c:v>311364.98659597256</c:v>
                </c:pt>
                <c:pt idx="6">
                  <c:v>319195.81600886123</c:v>
                </c:pt>
                <c:pt idx="7">
                  <c:v>327223.59078148415</c:v>
                </c:pt>
                <c:pt idx="8">
                  <c:v>335453.26408963848</c:v>
                </c:pt>
                <c:pt idx="9">
                  <c:v>343889.91368149285</c:v>
                </c:pt>
                <c:pt idx="10">
                  <c:v>352538.74501058244</c:v>
                </c:pt>
                <c:pt idx="11">
                  <c:v>361405.09444759856</c:v>
                </c:pt>
                <c:pt idx="12">
                  <c:v>370494.43257295561</c:v>
                </c:pt>
                <c:pt idx="13">
                  <c:v>379812.36755216547</c:v>
                </c:pt>
                <c:pt idx="14">
                  <c:v>389364.64859610243</c:v>
                </c:pt>
                <c:pt idx="15">
                  <c:v>399157.16950829444</c:v>
                </c:pt>
                <c:pt idx="16">
                  <c:v>409195.97232142807</c:v>
                </c:pt>
                <c:pt idx="17">
                  <c:v>419487.251025312</c:v>
                </c:pt>
                <c:pt idx="18">
                  <c:v>430037.35538859857</c:v>
                </c:pt>
                <c:pt idx="19">
                  <c:v>440852.79487662186</c:v>
                </c:pt>
                <c:pt idx="20">
                  <c:v>451940.24266776891</c:v>
                </c:pt>
                <c:pt idx="21">
                  <c:v>463306.53977086325</c:v>
                </c:pt>
                <c:pt idx="22">
                  <c:v>474958.6992461005</c:v>
                </c:pt>
                <c:pt idx="23">
                  <c:v>486903.91053213988</c:v>
                </c:pt>
                <c:pt idx="24">
                  <c:v>499149.54388202319</c:v>
                </c:pt>
                <c:pt idx="25">
                  <c:v>511703.1549106561</c:v>
                </c:pt>
                <c:pt idx="26">
                  <c:v>524572.48925665917</c:v>
                </c:pt>
                <c:pt idx="27">
                  <c:v>537765.48736146418</c:v>
                </c:pt>
                <c:pt idx="28">
                  <c:v>551290.28936860501</c:v>
                </c:pt>
                <c:pt idx="29">
                  <c:v>565155.24014622555</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2416-45F0-9CFC-2470E4A469CF}"/>
            </c:ext>
          </c:extLst>
        </c:ser>
        <c:ser>
          <c:idx val="1"/>
          <c:order val="1"/>
          <c:tx>
            <c:v>Bill After Solar</c:v>
          </c:tx>
          <c:spPr>
            <a:solidFill>
              <a:srgbClr val="ED7D31"/>
            </a:solidFill>
            <a:ln>
              <a:noFill/>
            </a:ln>
            <a:effectLst/>
          </c:spPr>
          <c:invertIfNegative val="1"/>
          <c:val>
            <c:numRef>
              <c:f>'Savings &amp; Graph'!$G$5:$G$34</c:f>
              <c:numCache>
                <c:formatCode>_ [$₹-4009]\ * #,##0_ ;_ [$₹-4009]\ * \-#,##0_ ;_ [$₹-4009]\ * "-"??_ ;_ @_ </c:formatCode>
                <c:ptCount val="30"/>
                <c:pt idx="0">
                  <c:v>195800</c:v>
                </c:pt>
                <c:pt idx="1">
                  <c:v>201930.19</c:v>
                </c:pt>
                <c:pt idx="2">
                  <c:v>208226.52204199997</c:v>
                </c:pt>
                <c:pt idx="3">
                  <c:v>214693.29337840906</c:v>
                </c:pt>
                <c:pt idx="4">
                  <c:v>221334.91051642626</c:v>
                </c:pt>
                <c:pt idx="5">
                  <c:v>228155.89197749944</c:v>
                </c:pt>
                <c:pt idx="6">
                  <c:v>235160.87112629978</c:v>
                </c:pt>
                <c:pt idx="7">
                  <c:v>242354.59907096328</c:v>
                </c:pt>
                <c:pt idx="8">
                  <c:v>249741.94763639069</c:v>
                </c:pt>
                <c:pt idx="9">
                  <c:v>257327.91241244655</c:v>
                </c:pt>
                <c:pt idx="10">
                  <c:v>265117.61587894085</c:v>
                </c:pt>
                <c:pt idx="11">
                  <c:v>273116.31060932542</c:v>
                </c:pt>
                <c:pt idx="12">
                  <c:v>281329.38255508762</c:v>
                </c:pt>
                <c:pt idx="13">
                  <c:v>289762.35441287013</c:v>
                </c:pt>
                <c:pt idx="14">
                  <c:v>298420.88907639962</c:v>
                </c:pt>
                <c:pt idx="15">
                  <c:v>307310.79317535856</c:v>
                </c:pt>
                <c:pt idx="16">
                  <c:v>316438.0207033878</c:v>
                </c:pt>
                <c:pt idx="17">
                  <c:v>325808.67673746269</c:v>
                </c:pt>
                <c:pt idx="18">
                  <c:v>335429.02125094237</c:v>
                </c:pt>
                <c:pt idx="19">
                  <c:v>345305.47302264941</c:v>
                </c:pt>
                <c:pt idx="20">
                  <c:v>355444.61364439578</c:v>
                </c:pt>
                <c:pt idx="21">
                  <c:v>365853.19162943313</c:v>
                </c:pt>
                <c:pt idx="22">
                  <c:v>376538.12662436668</c:v>
                </c:pt>
                <c:pt idx="23">
                  <c:v>387506.51372713537</c:v>
                </c:pt>
                <c:pt idx="24">
                  <c:v>398765.627913729</c:v>
                </c:pt>
                <c:pt idx="25">
                  <c:v>410322.92857637658</c:v>
                </c:pt>
                <c:pt idx="26">
                  <c:v>422186.06417601195</c:v>
                </c:pt>
                <c:pt idx="27">
                  <c:v>434362.87701189151</c:v>
                </c:pt>
                <c:pt idx="28">
                  <c:v>446861.40811131278</c:v>
                </c:pt>
                <c:pt idx="29">
                  <c:v>459689.9022424547</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2416-45F0-9CFC-2470E4A469CF}"/>
            </c:ext>
          </c:extLst>
        </c:ser>
        <c:dLbls>
          <c:showLegendKey val="0"/>
          <c:showVal val="0"/>
          <c:showCatName val="0"/>
          <c:showSerName val="0"/>
          <c:showPercent val="0"/>
          <c:showBubbleSize val="0"/>
        </c:dLbls>
        <c:gapWidth val="199"/>
        <c:axId val="1292987058"/>
        <c:axId val="1775790101"/>
      </c:barChart>
      <c:catAx>
        <c:axId val="1292987058"/>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IN"/>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775790101"/>
        <c:crosses val="autoZero"/>
        <c:auto val="1"/>
        <c:lblAlgn val="ctr"/>
        <c:lblOffset val="100"/>
        <c:noMultiLvlLbl val="1"/>
      </c:catAx>
      <c:valAx>
        <c:axId val="1775790101"/>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solid"/>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IN"/>
              </a:p>
            </c:rich>
          </c:tx>
          <c:overlay val="0"/>
          <c:spPr>
            <a:noFill/>
            <a:ln>
              <a:noFill/>
            </a:ln>
            <a:effectLst/>
          </c:spPr>
        </c:title>
        <c:numFmt formatCode="_ [$₹-4009]\ * #,##0_ ;_ [$₹-4009]\ * \-#,##0_ ;_ [$₹-4009]\ * &quot;-&quot;??_ ;_ @_ "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29298705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zero"/>
    <c:showDLblsOverMax val="1"/>
  </c:chart>
  <c:spPr>
    <a:solidFill>
      <a:schemeClr val="bg1"/>
    </a:solidFill>
    <a:ln w="9525" cap="flat" cmpd="sng" algn="ctr">
      <a:solidFill>
        <a:schemeClr val="tx1">
          <a:lumMod val="15000"/>
          <a:lumOff val="85000"/>
        </a:schemeClr>
      </a:solidFill>
      <a:prstDash val="solid"/>
      <a:round/>
    </a:ln>
    <a:effectLst/>
  </c:spPr>
  <c:txPr>
    <a:bodyPr/>
    <a:lstStyle/>
    <a:p>
      <a:pPr>
        <a:defRPr sz="9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Times New Roman" panose="02020603050405020304" pitchFamily="18" charset="0"/>
                <a:ea typeface="+mj-ea"/>
                <a:cs typeface="Times New Roman" panose="02020603050405020304" pitchFamily="18" charset="0"/>
              </a:defRPr>
            </a:pPr>
            <a:r>
              <a:rPr lang="en-US"/>
              <a:t>Monthly Generation &amp; Savings</a:t>
            </a:r>
          </a:p>
        </c:rich>
      </c:tx>
      <c:overlay val="0"/>
      <c:spPr>
        <a:noFill/>
        <a:ln>
          <a:noFill/>
        </a:ln>
        <a:effectLst/>
      </c:spPr>
    </c:title>
    <c:autoTitleDeleted val="0"/>
    <c:plotArea>
      <c:layout/>
      <c:barChart>
        <c:barDir val="col"/>
        <c:grouping val="clustered"/>
        <c:varyColors val="1"/>
        <c:ser>
          <c:idx val="0"/>
          <c:order val="0"/>
          <c:tx>
            <c:v>Generation (Units)</c:v>
          </c:tx>
          <c:spPr>
            <a:solidFill>
              <a:srgbClr val="5B9BD5"/>
            </a:solidFill>
            <a:ln>
              <a:noFill/>
            </a:ln>
            <a:effectLst/>
          </c:spPr>
          <c:invertIfNegative val="1"/>
          <c:cat>
            <c:strRef>
              <c:f>'Savings &amp; Graph'!$O$5:$O$16</c:f>
              <c:strCache>
                <c:ptCount val="12"/>
                <c:pt idx="0">
                  <c:v>January </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'Savings &amp; Graph'!$P$5:$P$16</c:f>
              <c:numCache>
                <c:formatCode>0</c:formatCode>
                <c:ptCount val="12"/>
                <c:pt idx="0">
                  <c:v>648</c:v>
                </c:pt>
                <c:pt idx="1">
                  <c:v>648</c:v>
                </c:pt>
                <c:pt idx="2">
                  <c:v>720</c:v>
                </c:pt>
                <c:pt idx="3">
                  <c:v>720</c:v>
                </c:pt>
                <c:pt idx="4">
                  <c:v>720</c:v>
                </c:pt>
                <c:pt idx="5">
                  <c:v>540</c:v>
                </c:pt>
                <c:pt idx="6">
                  <c:v>468</c:v>
                </c:pt>
                <c:pt idx="7">
                  <c:v>468</c:v>
                </c:pt>
                <c:pt idx="8">
                  <c:v>504.00000000000006</c:v>
                </c:pt>
                <c:pt idx="9">
                  <c:v>576</c:v>
                </c:pt>
                <c:pt idx="10">
                  <c:v>576</c:v>
                </c:pt>
                <c:pt idx="11">
                  <c:v>612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412F-486D-A54F-D7EB63061B98}"/>
            </c:ext>
          </c:extLst>
        </c:ser>
        <c:dLbls>
          <c:showLegendKey val="0"/>
          <c:showVal val="0"/>
          <c:showCatName val="0"/>
          <c:showSerName val="0"/>
          <c:showPercent val="0"/>
          <c:showBubbleSize val="0"/>
        </c:dLbls>
        <c:gapWidth val="269"/>
        <c:axId val="1581028347"/>
        <c:axId val="302562269"/>
      </c:barChart>
      <c:lineChart>
        <c:grouping val="standard"/>
        <c:varyColors val="1"/>
        <c:ser>
          <c:idx val="1"/>
          <c:order val="1"/>
          <c:tx>
            <c:v>Savings (Rs.)</c:v>
          </c:tx>
          <c:spPr>
            <a:ln w="38100" cap="rnd">
              <a:solidFill>
                <a:schemeClr val="accent2"/>
              </a:solidFill>
              <a:round/>
            </a:ln>
            <a:effectLst/>
          </c:spPr>
          <c:marker>
            <c:symbol val="none"/>
          </c:marker>
          <c:cat>
            <c:strRef>
              <c:f>'Savings &amp; Graph'!$O$5:$O$16</c:f>
              <c:strCache>
                <c:ptCount val="12"/>
                <c:pt idx="0">
                  <c:v>January </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'Savings &amp; Graph'!$Q$5:$Q$16</c:f>
              <c:numCache>
                <c:formatCode>_ "₹"\ * #,##0_ ;_ "₹"\ * \-#,##0_ ;_ "₹"\ * "-"??_ ;_ @_ </c:formatCode>
                <c:ptCount val="12"/>
                <c:pt idx="0">
                  <c:v>7128</c:v>
                </c:pt>
                <c:pt idx="1">
                  <c:v>7128</c:v>
                </c:pt>
                <c:pt idx="2">
                  <c:v>7920</c:v>
                </c:pt>
                <c:pt idx="3">
                  <c:v>7920</c:v>
                </c:pt>
                <c:pt idx="4">
                  <c:v>7920</c:v>
                </c:pt>
                <c:pt idx="5">
                  <c:v>5940</c:v>
                </c:pt>
                <c:pt idx="6">
                  <c:v>5148</c:v>
                </c:pt>
                <c:pt idx="7">
                  <c:v>5148</c:v>
                </c:pt>
                <c:pt idx="8">
                  <c:v>5544.0000000000009</c:v>
                </c:pt>
                <c:pt idx="9">
                  <c:v>6336</c:v>
                </c:pt>
                <c:pt idx="10">
                  <c:v>6336</c:v>
                </c:pt>
                <c:pt idx="11">
                  <c:v>6732</c:v>
                </c:pt>
              </c:numCache>
            </c:numRef>
          </c:val>
          <c:smooth val="0"/>
          <c:extLst>
            <c:ext xmlns:c16="http://schemas.microsoft.com/office/drawing/2014/chart" uri="{C3380CC4-5D6E-409C-BE32-E72D297353CC}">
              <c16:uniqueId val="{00000001-412F-486D-A54F-D7EB63061B98}"/>
            </c:ext>
          </c:extLst>
        </c:ser>
        <c:dLbls>
          <c:showLegendKey val="0"/>
          <c:showVal val="0"/>
          <c:showCatName val="0"/>
          <c:showSerName val="0"/>
          <c:showPercent val="0"/>
          <c:showBubbleSize val="0"/>
        </c:dLbls>
        <c:marker val="1"/>
        <c:smooth val="0"/>
        <c:axId val="1118141248"/>
        <c:axId val="1118156224"/>
      </c:lineChart>
      <c:catAx>
        <c:axId val="1581028347"/>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302562269"/>
        <c:crosses val="autoZero"/>
        <c:auto val="1"/>
        <c:lblAlgn val="ctr"/>
        <c:lblOffset val="100"/>
        <c:noMultiLvlLbl val="1"/>
      </c:catAx>
      <c:valAx>
        <c:axId val="30256226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t>Savings in Rs.</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581028347"/>
        <c:crosses val="autoZero"/>
        <c:crossBetween val="between"/>
      </c:valAx>
      <c:valAx>
        <c:axId val="1118156224"/>
        <c:scaling>
          <c:orientation val="minMax"/>
        </c:scaling>
        <c:delete val="0"/>
        <c:axPos val="r"/>
        <c:numFmt formatCode="_ &quot;₹&quot;\ * #,##0_ ;_ &quot;₹&quot;\ * \-#,##0_ ;_ &quot;₹&quot;\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18141248"/>
        <c:crosses val="max"/>
        <c:crossBetween val="between"/>
      </c:valAx>
      <c:catAx>
        <c:axId val="1118141248"/>
        <c:scaling>
          <c:orientation val="minMax"/>
        </c:scaling>
        <c:delete val="1"/>
        <c:axPos val="b"/>
        <c:numFmt formatCode="General" sourceLinked="1"/>
        <c:majorTickMark val="out"/>
        <c:minorTickMark val="none"/>
        <c:tickLblPos val="nextTo"/>
        <c:crossAx val="1118156224"/>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zero"/>
    <c:showDLblsOverMax val="1"/>
  </c:chart>
  <c:spPr>
    <a:solidFill>
      <a:schemeClr val="bg1"/>
    </a:solidFill>
    <a:ln w="9525" cap="flat" cmpd="sng" algn="ctr">
      <a:solidFill>
        <a:schemeClr val="tx1">
          <a:lumMod val="15000"/>
          <a:lumOff val="85000"/>
        </a:schemeClr>
      </a:solidFill>
      <a:round/>
    </a:ln>
    <a:effectLst/>
  </c:spPr>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orientation="portrait"/>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601980</xdr:colOff>
          <xdr:row>15</xdr:row>
          <xdr:rowOff>7620</xdr:rowOff>
        </xdr:from>
        <xdr:to>
          <xdr:col>9</xdr:col>
          <xdr:colOff>7620</xdr:colOff>
          <xdr:row>19</xdr:row>
          <xdr:rowOff>68580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Proposal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8</xdr:col>
      <xdr:colOff>930088</xdr:colOff>
      <xdr:row>55</xdr:row>
      <xdr:rowOff>66675</xdr:rowOff>
    </xdr:from>
    <xdr:ext cx="6028765" cy="3339913"/>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8</xdr:col>
      <xdr:colOff>952501</xdr:colOff>
      <xdr:row>37</xdr:row>
      <xdr:rowOff>11205</xdr:rowOff>
    </xdr:from>
    <xdr:ext cx="5981700" cy="3417795"/>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8</xdr:col>
      <xdr:colOff>818028</xdr:colOff>
      <xdr:row>4</xdr:row>
      <xdr:rowOff>85724</xdr:rowOff>
    </xdr:from>
    <xdr:ext cx="977153" cy="306481"/>
    <xdr:grpSp>
      <xdr:nvGrpSpPr>
        <xdr:cNvPr id="4" name="Shape 2">
          <a:extLst>
            <a:ext uri="{FF2B5EF4-FFF2-40B4-BE49-F238E27FC236}">
              <a16:creationId xmlns:a16="http://schemas.microsoft.com/office/drawing/2014/main" id="{00000000-0008-0000-0200-000004000000}"/>
            </a:ext>
          </a:extLst>
        </xdr:cNvPr>
        <xdr:cNvGrpSpPr/>
      </xdr:nvGrpSpPr>
      <xdr:grpSpPr>
        <a:xfrm>
          <a:off x="7618116" y="975740"/>
          <a:ext cx="977153" cy="306481"/>
          <a:chOff x="4231575" y="3770475"/>
          <a:chExt cx="2228850" cy="19050"/>
        </a:xfrm>
      </xdr:grpSpPr>
      <xdr:cxnSp macro="">
        <xdr:nvCxnSpPr>
          <xdr:cNvPr id="5" name="Shape 3">
            <a:extLst>
              <a:ext uri="{FF2B5EF4-FFF2-40B4-BE49-F238E27FC236}">
                <a16:creationId xmlns:a16="http://schemas.microsoft.com/office/drawing/2014/main" id="{00000000-0008-0000-0200-000005000000}"/>
              </a:ext>
            </a:extLst>
          </xdr:cNvPr>
          <xdr:cNvCxnSpPr/>
        </xdr:nvCxnSpPr>
        <xdr:spPr>
          <a:xfrm flipH="1">
            <a:off x="4231575" y="3770475"/>
            <a:ext cx="2228850" cy="19050"/>
          </a:xfrm>
          <a:prstGeom prst="straightConnector1">
            <a:avLst/>
          </a:prstGeom>
          <a:noFill/>
          <a:ln w="57150" cap="flat" cmpd="sng">
            <a:solidFill>
              <a:srgbClr val="5B9BD5"/>
            </a:solidFill>
            <a:prstDash val="solid"/>
            <a:miter lim="800000"/>
            <a:headEnd type="none" w="sm" len="sm"/>
            <a:tailEnd type="triangle" w="med" len="med"/>
          </a:ln>
        </xdr:spPr>
      </xdr:cxnSp>
    </xdr:grpSp>
    <xdr:clientData fLocksWithSheet="0"/>
  </xdr:oneCellAnchor>
  <xdr:oneCellAnchor>
    <xdr:from>
      <xdr:col>12</xdr:col>
      <xdr:colOff>123825</xdr:colOff>
      <xdr:row>16</xdr:row>
      <xdr:rowOff>161925</xdr:rowOff>
    </xdr:from>
    <xdr:ext cx="1504950" cy="847725"/>
    <xdr:grpSp>
      <xdr:nvGrpSpPr>
        <xdr:cNvPr id="6" name="Shape 2">
          <a:extLst>
            <a:ext uri="{FF2B5EF4-FFF2-40B4-BE49-F238E27FC236}">
              <a16:creationId xmlns:a16="http://schemas.microsoft.com/office/drawing/2014/main" id="{00000000-0008-0000-0200-000006000000}"/>
            </a:ext>
          </a:extLst>
        </xdr:cNvPr>
        <xdr:cNvGrpSpPr/>
      </xdr:nvGrpSpPr>
      <xdr:grpSpPr>
        <a:xfrm>
          <a:off x="11668125" y="3470529"/>
          <a:ext cx="1504950" cy="847725"/>
          <a:chOff x="4622100" y="3379950"/>
          <a:chExt cx="1447800" cy="800100"/>
        </a:xfrm>
      </xdr:grpSpPr>
      <xdr:cxnSp macro="">
        <xdr:nvCxnSpPr>
          <xdr:cNvPr id="7" name="Shape 4">
            <a:extLst>
              <a:ext uri="{FF2B5EF4-FFF2-40B4-BE49-F238E27FC236}">
                <a16:creationId xmlns:a16="http://schemas.microsoft.com/office/drawing/2014/main" id="{00000000-0008-0000-0200-000007000000}"/>
              </a:ext>
            </a:extLst>
          </xdr:cNvPr>
          <xdr:cNvCxnSpPr/>
        </xdr:nvCxnSpPr>
        <xdr:spPr>
          <a:xfrm rot="10800000" flipH="1">
            <a:off x="4622100" y="3379950"/>
            <a:ext cx="1447800" cy="800100"/>
          </a:xfrm>
          <a:prstGeom prst="straightConnector1">
            <a:avLst/>
          </a:prstGeom>
          <a:noFill/>
          <a:ln w="57150" cap="flat" cmpd="sng">
            <a:solidFill>
              <a:srgbClr val="5B9BD5"/>
            </a:solidFill>
            <a:prstDash val="solid"/>
            <a:miter lim="800000"/>
            <a:headEnd type="none" w="sm" len="sm"/>
            <a:tailEnd type="triangle" w="med" len="med"/>
          </a:ln>
        </xdr:spPr>
      </xdr:cxnSp>
    </xdr:grp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hyperlink" Target="mailto:rocketsales1978@rediffmail.com" TargetMode="External"/><Relationship Id="rId1" Type="http://schemas.openxmlformats.org/officeDocument/2006/relationships/hyperlink" Target="mailto:abc@xyz.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N1000"/>
  <sheetViews>
    <sheetView tabSelected="1" zoomScaleNormal="100" workbookViewId="0">
      <selection activeCell="I12" sqref="I12"/>
    </sheetView>
  </sheetViews>
  <sheetFormatPr defaultColWidth="14.44140625" defaultRowHeight="15" customHeight="1" x14ac:dyDescent="0.25"/>
  <cols>
    <col min="1" max="1" width="7.88671875" style="1" customWidth="1"/>
    <col min="2" max="2" width="25.109375" style="1" customWidth="1"/>
    <col min="3" max="3" width="9.6640625" style="1" customWidth="1"/>
    <col min="4" max="4" width="13.109375" style="1" customWidth="1"/>
    <col min="5" max="5" width="3" style="1" hidden="1" customWidth="1"/>
    <col min="6" max="7" width="9.109375" style="1" customWidth="1"/>
    <col min="8" max="8" width="16.44140625" style="1" customWidth="1"/>
    <col min="9" max="9" width="48" style="1" customWidth="1"/>
    <col min="10" max="10" width="8.6640625" style="1" customWidth="1"/>
    <col min="11" max="11" width="7.44140625" style="1" customWidth="1"/>
    <col min="12" max="12" width="18.5546875" style="1" bestFit="1" customWidth="1"/>
    <col min="13" max="13" width="46.5546875" style="1" customWidth="1"/>
    <col min="14" max="14" width="9.109375" style="1" customWidth="1"/>
    <col min="15" max="15" width="29.33203125" style="1" customWidth="1"/>
    <col min="16" max="16" width="10.88671875" style="1" customWidth="1"/>
    <col min="17" max="17" width="13.33203125" style="1" customWidth="1"/>
    <col min="18" max="18" width="10.5546875" style="1" customWidth="1"/>
    <col min="19" max="19" width="14.88671875" style="1" customWidth="1"/>
    <col min="20" max="21" width="9.109375" style="1" customWidth="1"/>
    <col min="22" max="22" width="19.5546875" style="1" customWidth="1"/>
    <col min="23" max="23" width="12.44140625" style="1" customWidth="1"/>
    <col min="24" max="24" width="9.109375" style="1" customWidth="1"/>
    <col min="25" max="25" width="28.33203125" style="1" customWidth="1"/>
    <col min="26" max="26" width="18.109375" style="1" customWidth="1"/>
    <col min="27" max="30" width="9.109375" style="1" customWidth="1"/>
    <col min="31" max="31" width="45.109375" style="1" customWidth="1"/>
    <col min="32" max="36" width="9.109375" style="1" customWidth="1"/>
    <col min="37" max="37" width="3" style="1" hidden="1" customWidth="1"/>
    <col min="38" max="38" width="7.5546875" style="1" hidden="1" customWidth="1"/>
    <col min="39" max="39" width="18.88671875" style="1" hidden="1" customWidth="1"/>
    <col min="40" max="40" width="12.33203125" style="1" hidden="1" customWidth="1"/>
    <col min="41" max="16384" width="14.44140625" style="1"/>
  </cols>
  <sheetData>
    <row r="2" spans="1:40" ht="13.8" x14ac:dyDescent="0.25">
      <c r="A2" s="115" t="s">
        <v>0</v>
      </c>
      <c r="B2" s="85"/>
      <c r="C2" s="85"/>
      <c r="D2" s="86"/>
      <c r="G2" s="116" t="s">
        <v>1</v>
      </c>
      <c r="H2" s="85"/>
      <c r="I2" s="86"/>
      <c r="K2" s="84" t="s">
        <v>2</v>
      </c>
      <c r="L2" s="85"/>
      <c r="M2" s="86"/>
      <c r="O2" s="84" t="s">
        <v>3</v>
      </c>
      <c r="P2" s="85"/>
      <c r="Q2" s="85"/>
      <c r="R2" s="85"/>
      <c r="S2" s="86"/>
      <c r="U2" s="84" t="s">
        <v>168</v>
      </c>
      <c r="V2" s="85"/>
      <c r="W2" s="85"/>
      <c r="X2" s="85"/>
      <c r="Y2" s="86"/>
      <c r="AA2" s="84" t="s">
        <v>173</v>
      </c>
      <c r="AB2" s="85"/>
      <c r="AC2" s="85"/>
      <c r="AD2" s="85"/>
      <c r="AE2" s="86"/>
      <c r="AK2" s="51">
        <f>S9/'Savings &amp; Graph'!F5</f>
        <v>5.215193181818182</v>
      </c>
      <c r="AM2" s="1" t="s">
        <v>4</v>
      </c>
      <c r="AN2" s="52">
        <f>ROUND(AK2,1)</f>
        <v>5.2</v>
      </c>
    </row>
    <row r="3" spans="1:40" ht="13.8" x14ac:dyDescent="0.25">
      <c r="A3" s="87"/>
      <c r="B3" s="88"/>
      <c r="C3" s="88"/>
      <c r="D3" s="89"/>
      <c r="G3" s="87"/>
      <c r="H3" s="88"/>
      <c r="I3" s="89"/>
      <c r="K3" s="87"/>
      <c r="L3" s="88"/>
      <c r="M3" s="89"/>
      <c r="O3" s="87"/>
      <c r="P3" s="88"/>
      <c r="Q3" s="88"/>
      <c r="R3" s="88"/>
      <c r="S3" s="89"/>
      <c r="U3" s="87"/>
      <c r="V3" s="88"/>
      <c r="W3" s="88"/>
      <c r="X3" s="88"/>
      <c r="Y3" s="89"/>
      <c r="AA3" s="87"/>
      <c r="AB3" s="88"/>
      <c r="AC3" s="88"/>
      <c r="AD3" s="88"/>
      <c r="AE3" s="89"/>
      <c r="AM3" s="1" t="s">
        <v>5</v>
      </c>
      <c r="AN3" s="53">
        <f>'Savings &amp; Graph'!F5</f>
        <v>79200</v>
      </c>
    </row>
    <row r="4" spans="1:40" ht="13.8" x14ac:dyDescent="0.25">
      <c r="AM4" s="1" t="s">
        <v>6</v>
      </c>
      <c r="AN4" s="1">
        <f>'Savings &amp; Graph'!E5</f>
        <v>7200</v>
      </c>
    </row>
    <row r="5" spans="1:40" ht="16.5" customHeight="1" x14ac:dyDescent="0.25">
      <c r="A5" s="98" t="s">
        <v>7</v>
      </c>
      <c r="B5" s="99"/>
      <c r="C5" s="99"/>
      <c r="D5" s="95"/>
      <c r="G5" s="117" t="s">
        <v>1</v>
      </c>
      <c r="H5" s="99"/>
      <c r="I5" s="118"/>
      <c r="K5" s="83" t="s">
        <v>8</v>
      </c>
      <c r="L5" s="107" t="s">
        <v>9</v>
      </c>
      <c r="M5" s="108"/>
      <c r="O5" s="83" t="s">
        <v>10</v>
      </c>
      <c r="P5" s="83" t="s">
        <v>11</v>
      </c>
      <c r="Q5" s="83" t="s">
        <v>12</v>
      </c>
      <c r="R5" s="83" t="s">
        <v>13</v>
      </c>
      <c r="S5" s="83" t="s">
        <v>14</v>
      </c>
      <c r="U5" s="90" t="s">
        <v>169</v>
      </c>
      <c r="V5" s="90"/>
      <c r="W5" s="90"/>
      <c r="X5" s="90"/>
      <c r="Y5" s="90"/>
      <c r="AA5" s="93" t="s">
        <v>174</v>
      </c>
      <c r="AB5" s="93"/>
      <c r="AC5" s="93"/>
      <c r="AD5" s="93"/>
      <c r="AE5" s="93"/>
      <c r="AM5" s="1" t="s">
        <v>15</v>
      </c>
      <c r="AN5" s="53">
        <f>S9</f>
        <v>413043.3</v>
      </c>
    </row>
    <row r="6" spans="1:40" ht="15" customHeight="1" x14ac:dyDescent="0.25">
      <c r="A6" s="2" t="s">
        <v>16</v>
      </c>
      <c r="B6" s="2" t="s">
        <v>17</v>
      </c>
      <c r="C6" s="94" t="s">
        <v>18</v>
      </c>
      <c r="D6" s="95"/>
      <c r="G6" s="2" t="s">
        <v>16</v>
      </c>
      <c r="H6" s="2" t="s">
        <v>17</v>
      </c>
      <c r="I6" s="2" t="s">
        <v>18</v>
      </c>
      <c r="K6" s="54">
        <v>1</v>
      </c>
      <c r="L6" s="2" t="s">
        <v>19</v>
      </c>
      <c r="M6" s="2" t="s">
        <v>20</v>
      </c>
      <c r="O6" s="55" t="s">
        <v>21</v>
      </c>
      <c r="P6" s="55">
        <v>352850</v>
      </c>
      <c r="Q6" s="56">
        <v>0.13800000000000001</v>
      </c>
      <c r="R6" s="55">
        <f>P6*Q6</f>
        <v>48693.3</v>
      </c>
      <c r="S6" s="57">
        <f>P6+R6</f>
        <v>401543.3</v>
      </c>
      <c r="U6" s="91" t="s">
        <v>170</v>
      </c>
      <c r="V6" s="91"/>
      <c r="W6" s="91"/>
      <c r="X6" s="91"/>
      <c r="Y6" s="91"/>
      <c r="AA6" s="93"/>
      <c r="AB6" s="93"/>
      <c r="AC6" s="93"/>
      <c r="AD6" s="93"/>
      <c r="AE6" s="93"/>
      <c r="AM6" s="1" t="s">
        <v>22</v>
      </c>
      <c r="AN6" s="58">
        <f>E16*15.5</f>
        <v>77.5</v>
      </c>
    </row>
    <row r="7" spans="1:40" ht="16.5" customHeight="1" x14ac:dyDescent="0.25">
      <c r="A7" s="2">
        <v>1</v>
      </c>
      <c r="B7" s="2" t="s">
        <v>23</v>
      </c>
      <c r="C7" s="96">
        <f ca="1">TODAY()</f>
        <v>45594</v>
      </c>
      <c r="D7" s="95"/>
      <c r="G7" s="2">
        <v>1</v>
      </c>
      <c r="H7" s="2" t="s">
        <v>24</v>
      </c>
      <c r="I7" s="59" t="s">
        <v>178</v>
      </c>
      <c r="J7" s="60"/>
      <c r="K7" s="54">
        <v>2</v>
      </c>
      <c r="L7" s="2" t="s">
        <v>25</v>
      </c>
      <c r="M7" s="2" t="s">
        <v>26</v>
      </c>
      <c r="O7" s="61" t="s">
        <v>27</v>
      </c>
      <c r="P7" s="61">
        <v>1500</v>
      </c>
      <c r="Q7" s="61"/>
      <c r="R7" s="61"/>
      <c r="S7" s="62">
        <f t="shared" ref="S7:S8" si="0">P7</f>
        <v>1500</v>
      </c>
      <c r="U7" s="91"/>
      <c r="V7" s="91"/>
      <c r="W7" s="91"/>
      <c r="X7" s="91"/>
      <c r="Y7" s="91"/>
      <c r="AA7" s="93"/>
      <c r="AB7" s="93"/>
      <c r="AC7" s="93"/>
      <c r="AD7" s="93"/>
      <c r="AE7" s="93"/>
      <c r="AM7" s="1" t="s">
        <v>28</v>
      </c>
      <c r="AN7" s="58">
        <f>E16*0.83</f>
        <v>4.1499999999999995</v>
      </c>
    </row>
    <row r="8" spans="1:40" ht="15" customHeight="1" x14ac:dyDescent="0.25">
      <c r="A8" s="2">
        <v>2</v>
      </c>
      <c r="B8" s="2" t="s">
        <v>29</v>
      </c>
      <c r="C8" s="94" t="s">
        <v>180</v>
      </c>
      <c r="D8" s="95"/>
      <c r="G8" s="2">
        <v>2</v>
      </c>
      <c r="H8" s="2" t="s">
        <v>30</v>
      </c>
      <c r="I8" s="2" t="s">
        <v>181</v>
      </c>
      <c r="K8" s="54">
        <v>3</v>
      </c>
      <c r="L8" s="2" t="s">
        <v>31</v>
      </c>
      <c r="M8" s="2" t="s">
        <v>32</v>
      </c>
      <c r="O8" s="63" t="s">
        <v>33</v>
      </c>
      <c r="P8" s="63">
        <v>10000</v>
      </c>
      <c r="Q8" s="63"/>
      <c r="R8" s="63"/>
      <c r="S8" s="64">
        <f t="shared" si="0"/>
        <v>10000</v>
      </c>
      <c r="U8" s="91"/>
      <c r="V8" s="91"/>
      <c r="W8" s="91"/>
      <c r="X8" s="91"/>
      <c r="Y8" s="91"/>
      <c r="AA8" s="93"/>
      <c r="AB8" s="93"/>
      <c r="AC8" s="93"/>
      <c r="AD8" s="93"/>
      <c r="AE8" s="93"/>
    </row>
    <row r="9" spans="1:40" ht="15" customHeight="1" x14ac:dyDescent="0.25">
      <c r="A9" s="2">
        <v>3</v>
      </c>
      <c r="B9" s="2"/>
      <c r="C9" s="94"/>
      <c r="D9" s="95"/>
      <c r="G9" s="2">
        <v>3</v>
      </c>
      <c r="H9" s="2" t="s">
        <v>34</v>
      </c>
      <c r="I9" s="2">
        <v>9893110268</v>
      </c>
      <c r="K9" s="54">
        <v>4</v>
      </c>
      <c r="L9" s="2" t="s">
        <v>155</v>
      </c>
      <c r="M9" s="2" t="s">
        <v>35</v>
      </c>
      <c r="O9" s="105" t="s">
        <v>36</v>
      </c>
      <c r="P9" s="106"/>
      <c r="Q9" s="106"/>
      <c r="R9" s="106"/>
      <c r="S9" s="65">
        <f>S6+S7+S8</f>
        <v>413043.3</v>
      </c>
      <c r="U9" s="91"/>
      <c r="V9" s="91"/>
      <c r="W9" s="91"/>
      <c r="X9" s="91"/>
      <c r="Y9" s="91"/>
      <c r="AA9" s="93"/>
      <c r="AB9" s="93"/>
      <c r="AC9" s="93"/>
      <c r="AD9" s="93"/>
      <c r="AE9" s="93"/>
    </row>
    <row r="10" spans="1:40" ht="15" customHeight="1" x14ac:dyDescent="0.3">
      <c r="A10" s="2">
        <v>4</v>
      </c>
      <c r="B10" s="2"/>
      <c r="C10" s="94"/>
      <c r="D10" s="95"/>
      <c r="G10" s="2">
        <v>4</v>
      </c>
      <c r="H10" s="2" t="s">
        <v>37</v>
      </c>
      <c r="I10" s="146" t="s">
        <v>184</v>
      </c>
      <c r="K10" s="54">
        <v>5</v>
      </c>
      <c r="L10" s="2" t="s">
        <v>147</v>
      </c>
      <c r="M10" s="2" t="s">
        <v>162</v>
      </c>
      <c r="O10" s="63" t="s">
        <v>164</v>
      </c>
      <c r="P10" s="63">
        <v>78000</v>
      </c>
      <c r="Q10" s="63"/>
      <c r="R10" s="63"/>
      <c r="S10" s="64">
        <f>P10</f>
        <v>78000</v>
      </c>
      <c r="U10" s="91"/>
      <c r="V10" s="91"/>
      <c r="W10" s="91"/>
      <c r="X10" s="91"/>
      <c r="Y10" s="91"/>
      <c r="AA10" s="93"/>
      <c r="AB10" s="93"/>
      <c r="AC10" s="93"/>
      <c r="AD10" s="93"/>
      <c r="AE10" s="93"/>
    </row>
    <row r="11" spans="1:40" ht="16.5" customHeight="1" x14ac:dyDescent="0.25">
      <c r="A11" s="2">
        <v>5</v>
      </c>
      <c r="B11" s="2"/>
      <c r="C11" s="94"/>
      <c r="D11" s="95"/>
      <c r="G11" s="2">
        <v>5</v>
      </c>
      <c r="H11" s="2" t="s">
        <v>39</v>
      </c>
      <c r="I11" s="2" t="s">
        <v>183</v>
      </c>
      <c r="K11" s="66"/>
      <c r="O11" s="105" t="s">
        <v>165</v>
      </c>
      <c r="P11" s="106"/>
      <c r="Q11" s="106"/>
      <c r="R11" s="106"/>
      <c r="S11" s="65">
        <f>S9-S10</f>
        <v>335043.3</v>
      </c>
      <c r="U11" s="91"/>
      <c r="V11" s="91"/>
      <c r="W11" s="91"/>
      <c r="X11" s="91"/>
      <c r="Y11" s="91"/>
      <c r="AA11" s="93"/>
      <c r="AB11" s="93"/>
      <c r="AC11" s="93"/>
      <c r="AD11" s="93"/>
      <c r="AE11" s="93"/>
    </row>
    <row r="12" spans="1:40" ht="15.75" customHeight="1" x14ac:dyDescent="0.25">
      <c r="G12" s="2">
        <v>6</v>
      </c>
      <c r="H12" s="2" t="s">
        <v>40</v>
      </c>
      <c r="I12" s="2" t="s">
        <v>182</v>
      </c>
      <c r="K12" s="83" t="s">
        <v>8</v>
      </c>
      <c r="L12" s="107" t="s">
        <v>41</v>
      </c>
      <c r="M12" s="108"/>
      <c r="O12" s="109" t="s">
        <v>38</v>
      </c>
      <c r="P12" s="110"/>
      <c r="Q12" s="110"/>
      <c r="R12" s="110"/>
      <c r="S12" s="110"/>
      <c r="U12" s="91"/>
      <c r="V12" s="91"/>
      <c r="W12" s="91"/>
      <c r="X12" s="91"/>
      <c r="Y12" s="91"/>
      <c r="AA12" s="93"/>
      <c r="AB12" s="93"/>
      <c r="AC12" s="93"/>
      <c r="AD12" s="93"/>
      <c r="AE12" s="93"/>
    </row>
    <row r="13" spans="1:40" ht="16.5" customHeight="1" x14ac:dyDescent="0.25">
      <c r="G13" s="2">
        <v>7</v>
      </c>
      <c r="H13" s="2" t="s">
        <v>166</v>
      </c>
      <c r="I13" s="67"/>
      <c r="K13" s="54">
        <v>1</v>
      </c>
      <c r="L13" s="2" t="s">
        <v>148</v>
      </c>
      <c r="M13" s="2" t="s">
        <v>42</v>
      </c>
      <c r="O13" s="110"/>
      <c r="P13" s="110"/>
      <c r="Q13" s="110"/>
      <c r="R13" s="110"/>
      <c r="S13" s="110"/>
      <c r="U13" s="91"/>
      <c r="V13" s="91"/>
      <c r="W13" s="91"/>
      <c r="X13" s="91"/>
      <c r="Y13" s="91"/>
      <c r="AA13" s="93"/>
      <c r="AB13" s="93"/>
      <c r="AC13" s="93"/>
      <c r="AD13" s="93"/>
      <c r="AE13" s="93"/>
    </row>
    <row r="14" spans="1:40" ht="16.5" customHeight="1" x14ac:dyDescent="0.25">
      <c r="A14" s="98" t="s">
        <v>0</v>
      </c>
      <c r="B14" s="99"/>
      <c r="C14" s="99"/>
      <c r="D14" s="95"/>
      <c r="K14" s="54">
        <v>2</v>
      </c>
      <c r="L14" s="2" t="s">
        <v>156</v>
      </c>
      <c r="M14" s="2" t="s">
        <v>43</v>
      </c>
      <c r="O14" s="68"/>
      <c r="P14" s="68"/>
      <c r="Q14" s="68"/>
      <c r="R14" s="69"/>
      <c r="S14" s="69"/>
      <c r="U14" s="91"/>
      <c r="V14" s="91"/>
      <c r="W14" s="91"/>
      <c r="X14" s="91"/>
      <c r="Y14" s="91"/>
      <c r="AA14" s="93"/>
      <c r="AB14" s="93"/>
      <c r="AC14" s="93"/>
      <c r="AD14" s="93"/>
      <c r="AE14" s="93"/>
    </row>
    <row r="15" spans="1:40" ht="16.5" customHeight="1" x14ac:dyDescent="0.25">
      <c r="A15" s="2" t="s">
        <v>16</v>
      </c>
      <c r="B15" s="2" t="s">
        <v>17</v>
      </c>
      <c r="C15" s="94" t="s">
        <v>18</v>
      </c>
      <c r="D15" s="95"/>
      <c r="K15" s="54">
        <v>3</v>
      </c>
      <c r="L15" s="2" t="s">
        <v>149</v>
      </c>
      <c r="M15" s="2" t="s">
        <v>44</v>
      </c>
      <c r="U15" s="70"/>
      <c r="V15" s="70"/>
      <c r="W15" s="70"/>
      <c r="X15" s="70"/>
      <c r="Y15" s="70"/>
      <c r="AA15" s="93"/>
      <c r="AB15" s="93"/>
      <c r="AC15" s="93"/>
      <c r="AD15" s="93"/>
      <c r="AE15" s="93"/>
    </row>
    <row r="16" spans="1:40" ht="17.25" customHeight="1" x14ac:dyDescent="0.25">
      <c r="A16" s="2">
        <v>1</v>
      </c>
      <c r="B16" s="2" t="s">
        <v>45</v>
      </c>
      <c r="C16" s="123" t="s">
        <v>177</v>
      </c>
      <c r="D16" s="95"/>
      <c r="E16" s="1">
        <f>VALUE(LEFT(C16, FIND(" ", C16)-1))</f>
        <v>5</v>
      </c>
      <c r="K16" s="54">
        <v>4</v>
      </c>
      <c r="L16" s="2" t="s">
        <v>150</v>
      </c>
      <c r="M16" s="2" t="s">
        <v>46</v>
      </c>
      <c r="O16" s="71" t="s">
        <v>47</v>
      </c>
      <c r="P16" s="72"/>
      <c r="Q16" s="73"/>
      <c r="R16" s="73"/>
      <c r="S16" s="73"/>
      <c r="U16" s="92" t="s">
        <v>171</v>
      </c>
      <c r="V16" s="92"/>
      <c r="W16" s="92"/>
      <c r="X16" s="92"/>
      <c r="Y16" s="92"/>
      <c r="AA16" s="93"/>
      <c r="AB16" s="93"/>
      <c r="AC16" s="93"/>
      <c r="AD16" s="93"/>
      <c r="AE16" s="93"/>
    </row>
    <row r="17" spans="1:31" ht="15" customHeight="1" x14ac:dyDescent="0.25">
      <c r="A17" s="2">
        <v>2</v>
      </c>
      <c r="B17" s="2" t="s">
        <v>48</v>
      </c>
      <c r="C17" s="94" t="s">
        <v>176</v>
      </c>
      <c r="D17" s="95"/>
      <c r="K17" s="54">
        <v>5</v>
      </c>
      <c r="L17" s="2" t="s">
        <v>151</v>
      </c>
      <c r="M17" s="2" t="s">
        <v>49</v>
      </c>
      <c r="O17" s="100" t="s">
        <v>175</v>
      </c>
      <c r="P17" s="85"/>
      <c r="Q17" s="85"/>
      <c r="R17" s="85"/>
      <c r="S17" s="86"/>
      <c r="T17" s="3"/>
      <c r="U17" s="91" t="s">
        <v>172</v>
      </c>
      <c r="V17" s="91"/>
      <c r="W17" s="91"/>
      <c r="X17" s="91"/>
      <c r="Y17" s="91"/>
      <c r="AA17" s="93"/>
      <c r="AB17" s="93"/>
      <c r="AC17" s="93"/>
      <c r="AD17" s="93"/>
      <c r="AE17" s="93"/>
    </row>
    <row r="18" spans="1:31" ht="13.8" x14ac:dyDescent="0.25">
      <c r="A18" s="2">
        <v>3</v>
      </c>
      <c r="B18" s="2" t="s">
        <v>50</v>
      </c>
      <c r="C18" s="94" t="s">
        <v>51</v>
      </c>
      <c r="D18" s="95"/>
      <c r="K18" s="54">
        <v>6</v>
      </c>
      <c r="L18" s="2" t="s">
        <v>152</v>
      </c>
      <c r="M18" s="2" t="s">
        <v>52</v>
      </c>
      <c r="O18" s="101"/>
      <c r="P18" s="102"/>
      <c r="Q18" s="102"/>
      <c r="R18" s="102"/>
      <c r="S18" s="103"/>
      <c r="T18" s="3"/>
      <c r="U18" s="91"/>
      <c r="V18" s="91"/>
      <c r="W18" s="91"/>
      <c r="X18" s="91"/>
      <c r="Y18" s="91"/>
      <c r="AA18" s="93"/>
      <c r="AB18" s="93"/>
      <c r="AC18" s="93"/>
      <c r="AD18" s="93"/>
      <c r="AE18" s="93"/>
    </row>
    <row r="19" spans="1:31" ht="13.8" x14ac:dyDescent="0.25">
      <c r="A19" s="2">
        <v>4</v>
      </c>
      <c r="B19" s="2" t="s">
        <v>53</v>
      </c>
      <c r="C19" s="94">
        <v>766625000</v>
      </c>
      <c r="D19" s="95"/>
      <c r="K19" s="66"/>
      <c r="O19" s="101"/>
      <c r="P19" s="102"/>
      <c r="Q19" s="102"/>
      <c r="R19" s="102"/>
      <c r="S19" s="103"/>
      <c r="T19" s="3"/>
      <c r="U19" s="91"/>
      <c r="V19" s="91"/>
      <c r="W19" s="91"/>
      <c r="X19" s="91"/>
      <c r="Y19" s="91"/>
      <c r="AA19" s="93"/>
      <c r="AB19" s="93"/>
      <c r="AC19" s="93"/>
      <c r="AD19" s="93"/>
      <c r="AE19" s="93"/>
    </row>
    <row r="20" spans="1:31" ht="13.8" x14ac:dyDescent="0.25">
      <c r="A20" s="2">
        <v>5</v>
      </c>
      <c r="B20" s="2" t="s">
        <v>54</v>
      </c>
      <c r="C20" s="122" t="s">
        <v>55</v>
      </c>
      <c r="D20" s="95"/>
      <c r="K20" s="83" t="s">
        <v>8</v>
      </c>
      <c r="L20" s="107" t="s">
        <v>56</v>
      </c>
      <c r="M20" s="108"/>
      <c r="O20" s="101"/>
      <c r="P20" s="102"/>
      <c r="Q20" s="102"/>
      <c r="R20" s="102"/>
      <c r="S20" s="103"/>
      <c r="T20" s="3"/>
      <c r="U20" s="91"/>
      <c r="V20" s="91"/>
      <c r="W20" s="91"/>
      <c r="X20" s="91"/>
      <c r="Y20" s="91"/>
      <c r="AA20" s="93"/>
      <c r="AB20" s="93"/>
      <c r="AC20" s="93"/>
      <c r="AD20" s="93"/>
      <c r="AE20" s="93"/>
    </row>
    <row r="21" spans="1:31" ht="15.75" customHeight="1" x14ac:dyDescent="0.25">
      <c r="K21" s="54">
        <v>1</v>
      </c>
      <c r="L21" s="2" t="s">
        <v>157</v>
      </c>
      <c r="M21" s="2" t="s">
        <v>57</v>
      </c>
      <c r="O21" s="101"/>
      <c r="P21" s="102"/>
      <c r="Q21" s="102"/>
      <c r="R21" s="102"/>
      <c r="S21" s="103"/>
      <c r="T21" s="3"/>
      <c r="U21" s="91"/>
      <c r="V21" s="91"/>
      <c r="W21" s="91"/>
      <c r="X21" s="91"/>
      <c r="Y21" s="91"/>
      <c r="AA21" s="93"/>
      <c r="AB21" s="93"/>
      <c r="AC21" s="93"/>
      <c r="AD21" s="93"/>
      <c r="AE21" s="93"/>
    </row>
    <row r="22" spans="1:31" ht="15.75" customHeight="1" x14ac:dyDescent="0.25">
      <c r="K22" s="54">
        <v>2</v>
      </c>
      <c r="L22" s="2" t="s">
        <v>158</v>
      </c>
      <c r="M22" s="2" t="s">
        <v>58</v>
      </c>
      <c r="O22" s="87"/>
      <c r="P22" s="88"/>
      <c r="Q22" s="88"/>
      <c r="R22" s="88"/>
      <c r="S22" s="89"/>
      <c r="T22" s="3"/>
      <c r="U22" s="91"/>
      <c r="V22" s="91"/>
      <c r="W22" s="91"/>
      <c r="X22" s="91"/>
      <c r="Y22" s="91"/>
      <c r="AA22" s="93"/>
      <c r="AB22" s="93"/>
      <c r="AC22" s="93"/>
      <c r="AD22" s="93"/>
      <c r="AE22" s="93"/>
    </row>
    <row r="23" spans="1:31" ht="15.75" customHeight="1" x14ac:dyDescent="0.25">
      <c r="K23" s="54">
        <v>3</v>
      </c>
      <c r="L23" s="2" t="s">
        <v>159</v>
      </c>
      <c r="M23" s="2" t="s">
        <v>59</v>
      </c>
      <c r="S23" s="3"/>
      <c r="T23" s="3"/>
      <c r="U23" s="3"/>
      <c r="Y23" s="3"/>
      <c r="AA23" s="77"/>
      <c r="AB23" s="77"/>
      <c r="AC23" s="77"/>
      <c r="AD23" s="77"/>
      <c r="AE23" s="77"/>
    </row>
    <row r="24" spans="1:31" ht="16.5" customHeight="1" x14ac:dyDescent="0.25">
      <c r="A24" s="98" t="s">
        <v>60</v>
      </c>
      <c r="B24" s="99"/>
      <c r="C24" s="99"/>
      <c r="D24" s="95"/>
      <c r="K24" s="66"/>
      <c r="O24" s="74" t="s">
        <v>61</v>
      </c>
      <c r="P24" s="74"/>
      <c r="Q24" s="74"/>
      <c r="R24" s="74"/>
      <c r="S24" s="74"/>
      <c r="T24" s="3"/>
      <c r="U24" s="3"/>
      <c r="V24" s="3"/>
      <c r="W24" s="3"/>
      <c r="X24" s="3"/>
      <c r="Y24" s="3"/>
      <c r="AA24" s="77"/>
      <c r="AB24" s="77"/>
      <c r="AC24" s="77"/>
      <c r="AD24" s="77"/>
      <c r="AE24" s="77"/>
    </row>
    <row r="25" spans="1:31" ht="15.75" customHeight="1" x14ac:dyDescent="0.25">
      <c r="A25" s="2" t="s">
        <v>16</v>
      </c>
      <c r="B25" s="2" t="s">
        <v>17</v>
      </c>
      <c r="C25" s="97" t="s">
        <v>18</v>
      </c>
      <c r="D25" s="95"/>
      <c r="K25" s="83" t="s">
        <v>8</v>
      </c>
      <c r="L25" s="107" t="s">
        <v>62</v>
      </c>
      <c r="M25" s="108"/>
      <c r="O25" s="91" t="s">
        <v>179</v>
      </c>
      <c r="P25" s="104"/>
      <c r="Q25" s="104"/>
      <c r="R25" s="104"/>
      <c r="S25" s="104"/>
      <c r="T25" s="3"/>
      <c r="U25" s="3"/>
      <c r="V25" s="3"/>
      <c r="W25" s="3"/>
      <c r="X25" s="3"/>
      <c r="Y25" s="3"/>
      <c r="AA25" s="77"/>
      <c r="AB25" s="77"/>
      <c r="AC25" s="77"/>
      <c r="AD25" s="77"/>
      <c r="AE25" s="77"/>
    </row>
    <row r="26" spans="1:31" ht="15.75" customHeight="1" x14ac:dyDescent="0.25">
      <c r="A26" s="2"/>
      <c r="B26" s="2"/>
      <c r="C26" s="2" t="s">
        <v>63</v>
      </c>
      <c r="D26" s="2" t="s">
        <v>64</v>
      </c>
      <c r="K26" s="54">
        <v>1</v>
      </c>
      <c r="L26" s="2" t="s">
        <v>153</v>
      </c>
      <c r="M26" s="2" t="s">
        <v>65</v>
      </c>
      <c r="O26" s="104"/>
      <c r="P26" s="102"/>
      <c r="Q26" s="102"/>
      <c r="R26" s="102"/>
      <c r="S26" s="104"/>
      <c r="T26" s="3"/>
      <c r="U26" s="3"/>
      <c r="V26" s="3"/>
      <c r="W26" s="3"/>
      <c r="X26" s="3"/>
      <c r="Y26" s="3"/>
      <c r="AA26" s="77"/>
      <c r="AB26" s="77"/>
      <c r="AC26" s="77"/>
      <c r="AD26" s="77"/>
      <c r="AE26" s="77"/>
    </row>
    <row r="27" spans="1:31" ht="15.75" customHeight="1" x14ac:dyDescent="0.25">
      <c r="A27" s="2">
        <v>1</v>
      </c>
      <c r="B27" s="2" t="s">
        <v>66</v>
      </c>
      <c r="C27" s="2">
        <v>4</v>
      </c>
      <c r="D27" s="75">
        <f t="shared" ref="D27:D29" si="1">C27*$E$16</f>
        <v>20</v>
      </c>
      <c r="K27" s="127">
        <v>2</v>
      </c>
      <c r="L27" s="111" t="s">
        <v>154</v>
      </c>
      <c r="M27" s="113" t="s">
        <v>67</v>
      </c>
      <c r="O27" s="104"/>
      <c r="P27" s="102"/>
      <c r="Q27" s="102"/>
      <c r="R27" s="102"/>
      <c r="S27" s="104"/>
      <c r="T27" s="3"/>
      <c r="U27" s="3"/>
      <c r="V27" s="3"/>
      <c r="W27" s="3"/>
      <c r="X27" s="3"/>
      <c r="Y27" s="3"/>
      <c r="AA27" s="77"/>
      <c r="AB27" s="77"/>
      <c r="AC27" s="77"/>
      <c r="AD27" s="77"/>
      <c r="AE27" s="77"/>
    </row>
    <row r="28" spans="1:31" ht="15.75" customHeight="1" x14ac:dyDescent="0.25">
      <c r="A28" s="2">
        <v>2</v>
      </c>
      <c r="B28" s="2" t="s">
        <v>68</v>
      </c>
      <c r="C28" s="75">
        <f>C27*30</f>
        <v>120</v>
      </c>
      <c r="D28" s="75">
        <f t="shared" si="1"/>
        <v>600</v>
      </c>
      <c r="K28" s="112"/>
      <c r="L28" s="112"/>
      <c r="M28" s="112"/>
      <c r="O28" s="104"/>
      <c r="P28" s="102"/>
      <c r="Q28" s="102"/>
      <c r="R28" s="102"/>
      <c r="S28" s="104"/>
      <c r="T28" s="3"/>
      <c r="U28" s="3"/>
      <c r="V28" s="3"/>
      <c r="W28" s="3"/>
      <c r="X28" s="3"/>
      <c r="Y28" s="3"/>
      <c r="AA28" s="77"/>
      <c r="AB28" s="77"/>
      <c r="AC28" s="77"/>
      <c r="AD28" s="77"/>
      <c r="AE28" s="77"/>
    </row>
    <row r="29" spans="1:31" ht="15.75" customHeight="1" x14ac:dyDescent="0.25">
      <c r="A29" s="2">
        <v>3</v>
      </c>
      <c r="B29" s="2" t="s">
        <v>69</v>
      </c>
      <c r="C29" s="75">
        <f>C28*12</f>
        <v>1440</v>
      </c>
      <c r="D29" s="75">
        <f t="shared" si="1"/>
        <v>7200</v>
      </c>
      <c r="K29" s="66"/>
      <c r="O29" s="104"/>
      <c r="P29" s="102"/>
      <c r="Q29" s="102"/>
      <c r="R29" s="102"/>
      <c r="S29" s="104"/>
      <c r="T29" s="3"/>
      <c r="U29" s="3"/>
      <c r="V29" s="3"/>
      <c r="W29" s="3"/>
      <c r="X29" s="3"/>
      <c r="Y29" s="3"/>
      <c r="AA29" s="77"/>
      <c r="AB29" s="77"/>
      <c r="AC29" s="77"/>
      <c r="AD29" s="77"/>
      <c r="AE29" s="77"/>
    </row>
    <row r="30" spans="1:31" ht="15.75" customHeight="1" x14ac:dyDescent="0.25">
      <c r="A30" s="2">
        <v>4</v>
      </c>
      <c r="B30" s="2" t="s">
        <v>70</v>
      </c>
      <c r="C30" s="2"/>
      <c r="D30" s="2">
        <v>25000</v>
      </c>
      <c r="K30" s="124" t="s">
        <v>71</v>
      </c>
      <c r="L30" s="125"/>
      <c r="M30" s="126"/>
      <c r="O30" s="104"/>
      <c r="P30" s="102"/>
      <c r="Q30" s="102"/>
      <c r="R30" s="102"/>
      <c r="S30" s="104"/>
      <c r="T30" s="3"/>
      <c r="U30" s="3"/>
      <c r="V30" s="3"/>
      <c r="W30" s="3"/>
      <c r="X30" s="3"/>
      <c r="Y30" s="3"/>
      <c r="AA30" s="77"/>
      <c r="AB30" s="77"/>
      <c r="AC30" s="77"/>
      <c r="AD30" s="77"/>
      <c r="AE30" s="77"/>
    </row>
    <row r="31" spans="1:31" ht="15.75" customHeight="1" x14ac:dyDescent="0.25">
      <c r="A31" s="2">
        <v>5</v>
      </c>
      <c r="B31" s="2" t="s">
        <v>72</v>
      </c>
      <c r="C31" s="2"/>
      <c r="D31" s="76">
        <v>11</v>
      </c>
      <c r="J31" s="70"/>
      <c r="K31" s="114" t="s">
        <v>73</v>
      </c>
      <c r="L31" s="114"/>
      <c r="M31" s="114"/>
      <c r="N31" s="70"/>
      <c r="O31" s="104"/>
      <c r="P31" s="104"/>
      <c r="Q31" s="104"/>
      <c r="R31" s="104"/>
      <c r="S31" s="104"/>
      <c r="T31" s="3"/>
      <c r="U31" s="3"/>
      <c r="V31" s="3"/>
      <c r="W31" s="3"/>
      <c r="X31" s="3"/>
      <c r="Y31" s="3"/>
      <c r="AA31" s="77"/>
      <c r="AB31" s="77"/>
      <c r="AC31" s="77"/>
      <c r="AD31" s="77"/>
      <c r="AE31" s="77"/>
    </row>
    <row r="32" spans="1:31" ht="15" customHeight="1" x14ac:dyDescent="0.25">
      <c r="A32" s="2">
        <v>6</v>
      </c>
      <c r="B32" s="2" t="s">
        <v>163</v>
      </c>
      <c r="C32" s="120" t="s">
        <v>167</v>
      </c>
      <c r="D32" s="121"/>
      <c r="J32" s="70"/>
      <c r="K32" s="114"/>
      <c r="L32" s="114"/>
      <c r="M32" s="114"/>
      <c r="N32" s="70"/>
      <c r="S32" s="3"/>
      <c r="T32" s="3"/>
      <c r="U32" s="3"/>
      <c r="V32" s="3"/>
      <c r="W32" s="3"/>
      <c r="X32" s="3"/>
      <c r="Y32" s="3"/>
      <c r="AA32" s="77"/>
      <c r="AB32" s="77"/>
      <c r="AC32" s="77"/>
      <c r="AD32" s="77"/>
      <c r="AE32" s="77"/>
    </row>
    <row r="33" spans="1:31" ht="15" customHeight="1" x14ac:dyDescent="0.25">
      <c r="J33" s="70"/>
      <c r="K33" s="114"/>
      <c r="L33" s="114"/>
      <c r="M33" s="114"/>
      <c r="N33" s="70"/>
      <c r="AA33" s="77"/>
      <c r="AB33" s="77"/>
      <c r="AC33" s="77"/>
      <c r="AD33" s="77"/>
      <c r="AE33" s="77"/>
    </row>
    <row r="34" spans="1:31" ht="15" customHeight="1" x14ac:dyDescent="0.25">
      <c r="J34" s="70"/>
      <c r="K34" s="114"/>
      <c r="L34" s="114"/>
      <c r="M34" s="114"/>
      <c r="N34" s="70"/>
      <c r="AA34" s="77"/>
      <c r="AB34" s="77"/>
      <c r="AC34" s="77"/>
      <c r="AD34" s="77"/>
      <c r="AE34" s="77"/>
    </row>
    <row r="35" spans="1:31" ht="15" customHeight="1" x14ac:dyDescent="0.25">
      <c r="A35" s="130" t="s">
        <v>86</v>
      </c>
      <c r="B35" s="130"/>
      <c r="C35" s="128" t="s">
        <v>87</v>
      </c>
      <c r="D35" s="128"/>
      <c r="J35" s="70"/>
      <c r="K35" s="114"/>
      <c r="L35" s="114"/>
      <c r="M35" s="114"/>
      <c r="N35" s="70"/>
      <c r="AA35" s="77"/>
      <c r="AB35" s="77"/>
      <c r="AC35" s="77"/>
      <c r="AD35" s="77"/>
      <c r="AE35" s="77"/>
    </row>
    <row r="36" spans="1:31" ht="15.75" customHeight="1" x14ac:dyDescent="0.25">
      <c r="A36" s="131" t="s">
        <v>94</v>
      </c>
      <c r="B36" s="131"/>
      <c r="C36" s="129">
        <v>1.4999999999999999E-2</v>
      </c>
      <c r="D36" s="129"/>
      <c r="J36" s="70"/>
      <c r="K36" s="114"/>
      <c r="L36" s="114"/>
      <c r="M36" s="114"/>
      <c r="N36" s="70"/>
      <c r="AA36" s="77"/>
      <c r="AB36" s="77"/>
      <c r="AC36" s="77"/>
      <c r="AD36" s="77"/>
      <c r="AE36" s="77"/>
    </row>
    <row r="37" spans="1:31" ht="15.75" customHeight="1" x14ac:dyDescent="0.25">
      <c r="A37" s="131" t="s">
        <v>103</v>
      </c>
      <c r="B37" s="131"/>
      <c r="C37" s="129">
        <v>0.01</v>
      </c>
      <c r="D37" s="129"/>
      <c r="J37" s="70"/>
      <c r="K37" s="114"/>
      <c r="L37" s="114"/>
      <c r="M37" s="114"/>
      <c r="N37" s="70"/>
      <c r="AA37" s="77"/>
      <c r="AB37" s="77"/>
      <c r="AC37" s="77"/>
      <c r="AD37" s="77"/>
      <c r="AE37" s="77"/>
    </row>
    <row r="38" spans="1:31" ht="15.75" customHeight="1" x14ac:dyDescent="0.25">
      <c r="A38" s="131" t="s">
        <v>105</v>
      </c>
      <c r="B38" s="131"/>
      <c r="C38" s="129">
        <v>5.0000000000000001E-3</v>
      </c>
      <c r="D38" s="129"/>
      <c r="J38" s="70"/>
      <c r="K38" s="114"/>
      <c r="L38" s="114"/>
      <c r="M38" s="114"/>
      <c r="N38" s="70"/>
      <c r="AA38" s="77"/>
      <c r="AB38" s="77"/>
      <c r="AC38" s="77"/>
      <c r="AD38" s="77"/>
      <c r="AE38" s="77"/>
    </row>
    <row r="39" spans="1:31" ht="15" customHeight="1" x14ac:dyDescent="0.25">
      <c r="J39" s="70"/>
      <c r="K39" s="114"/>
      <c r="L39" s="114"/>
      <c r="M39" s="114"/>
      <c r="N39" s="70"/>
      <c r="AA39" s="77"/>
      <c r="AB39" s="77"/>
      <c r="AC39" s="77"/>
      <c r="AD39" s="77"/>
      <c r="AE39" s="77"/>
    </row>
    <row r="40" spans="1:31" ht="15" customHeight="1" x14ac:dyDescent="0.25">
      <c r="J40" s="70"/>
      <c r="K40" s="114"/>
      <c r="L40" s="114"/>
      <c r="M40" s="114"/>
      <c r="N40" s="70"/>
    </row>
    <row r="41" spans="1:31" ht="15.75" customHeight="1" x14ac:dyDescent="0.25">
      <c r="E41" s="77"/>
      <c r="F41" s="77"/>
      <c r="G41" s="77"/>
      <c r="H41" s="77"/>
      <c r="J41" s="70"/>
      <c r="K41" s="119" t="s">
        <v>160</v>
      </c>
      <c r="L41" s="119"/>
      <c r="M41" s="81" t="s">
        <v>161</v>
      </c>
      <c r="N41" s="70"/>
    </row>
    <row r="42" spans="1:31" ht="15.75" customHeight="1" x14ac:dyDescent="0.25">
      <c r="E42" s="77"/>
      <c r="F42" s="77"/>
      <c r="G42" s="77"/>
      <c r="H42" s="77"/>
      <c r="I42" s="78"/>
      <c r="J42" s="70"/>
      <c r="K42" s="80"/>
      <c r="L42" s="80"/>
      <c r="M42" s="80"/>
      <c r="N42" s="70"/>
    </row>
    <row r="43" spans="1:31" ht="15.75" customHeight="1" x14ac:dyDescent="0.25">
      <c r="A43" s="77"/>
      <c r="B43" s="77"/>
      <c r="C43" s="77"/>
      <c r="D43" s="77"/>
      <c r="E43" s="77"/>
      <c r="F43" s="77"/>
      <c r="G43" s="77"/>
      <c r="H43" s="77"/>
      <c r="I43" s="78"/>
      <c r="J43" s="70"/>
      <c r="K43" s="80"/>
      <c r="L43" s="80"/>
      <c r="M43" s="80"/>
      <c r="N43" s="70"/>
    </row>
    <row r="44" spans="1:31" ht="15.75" customHeight="1" x14ac:dyDescent="0.25">
      <c r="A44" s="77"/>
      <c r="B44" s="77"/>
      <c r="C44" s="77"/>
      <c r="D44" s="77"/>
      <c r="E44" s="77"/>
      <c r="F44" s="77"/>
      <c r="G44" s="77"/>
      <c r="H44" s="77"/>
    </row>
    <row r="45" spans="1:31" ht="15.75" customHeight="1" x14ac:dyDescent="0.25">
      <c r="A45" s="77"/>
      <c r="B45" s="77"/>
      <c r="C45" s="77"/>
      <c r="D45" s="77"/>
      <c r="E45" s="77"/>
      <c r="F45" s="77"/>
      <c r="G45" s="77"/>
      <c r="H45" s="77"/>
      <c r="I45" s="79"/>
    </row>
    <row r="46" spans="1:31" ht="15" customHeight="1" x14ac:dyDescent="0.25">
      <c r="A46" s="77"/>
      <c r="B46" s="77"/>
      <c r="C46" s="77"/>
      <c r="D46" s="77"/>
      <c r="E46" s="77"/>
      <c r="F46" s="77"/>
      <c r="G46" s="77"/>
      <c r="H46" s="77"/>
      <c r="I46" s="77"/>
    </row>
    <row r="47" spans="1:31" ht="15" customHeight="1" x14ac:dyDescent="0.25">
      <c r="A47" s="77"/>
      <c r="B47" s="77"/>
      <c r="C47" s="77"/>
      <c r="D47" s="77"/>
      <c r="E47" s="77"/>
      <c r="F47" s="77"/>
      <c r="G47" s="77"/>
      <c r="H47" s="77"/>
      <c r="I47" s="77"/>
    </row>
    <row r="48" spans="1:31" ht="15" customHeight="1" x14ac:dyDescent="0.25">
      <c r="A48" s="77"/>
      <c r="B48" s="77"/>
      <c r="C48" s="77"/>
      <c r="D48" s="77"/>
      <c r="E48" s="77"/>
      <c r="F48" s="77"/>
      <c r="G48" s="77"/>
      <c r="H48" s="77"/>
      <c r="I48" s="77"/>
    </row>
    <row r="49" spans="1:9" ht="15" customHeight="1" x14ac:dyDescent="0.25">
      <c r="A49" s="77"/>
      <c r="B49" s="77"/>
      <c r="C49" s="77"/>
      <c r="D49" s="77"/>
      <c r="E49" s="77"/>
      <c r="F49" s="77"/>
      <c r="G49" s="77"/>
      <c r="H49" s="77"/>
      <c r="I49" s="77"/>
    </row>
    <row r="50" spans="1:9" ht="15" customHeight="1" x14ac:dyDescent="0.25">
      <c r="A50" s="77"/>
      <c r="B50" s="77"/>
      <c r="C50" s="77"/>
      <c r="D50" s="77"/>
      <c r="E50" s="77"/>
      <c r="F50" s="77"/>
      <c r="G50" s="77"/>
      <c r="H50" s="77"/>
      <c r="I50" s="77"/>
    </row>
    <row r="51" spans="1:9" ht="15" customHeight="1" x14ac:dyDescent="0.25">
      <c r="A51" s="77"/>
      <c r="B51" s="77"/>
      <c r="C51" s="77"/>
      <c r="D51" s="77"/>
      <c r="E51" s="77"/>
      <c r="F51" s="77"/>
      <c r="G51" s="77"/>
      <c r="H51" s="77"/>
      <c r="I51" s="77"/>
    </row>
    <row r="52" spans="1:9" ht="15" customHeight="1" x14ac:dyDescent="0.25">
      <c r="A52" s="77"/>
      <c r="B52" s="77"/>
      <c r="C52" s="77"/>
      <c r="D52" s="77"/>
      <c r="E52" s="77"/>
      <c r="F52" s="77"/>
      <c r="G52" s="77"/>
      <c r="H52" s="77"/>
      <c r="I52" s="77"/>
    </row>
    <row r="53" spans="1:9" ht="15" customHeight="1" x14ac:dyDescent="0.25">
      <c r="A53" s="77"/>
      <c r="B53" s="77"/>
      <c r="C53" s="77"/>
      <c r="D53" s="77"/>
      <c r="E53" s="77"/>
      <c r="F53" s="77"/>
      <c r="G53" s="77"/>
      <c r="H53" s="77"/>
      <c r="I53" s="77"/>
    </row>
    <row r="54" spans="1:9" ht="13.8" x14ac:dyDescent="0.25">
      <c r="A54" s="77"/>
      <c r="B54" s="77"/>
      <c r="C54" s="77"/>
      <c r="D54" s="77"/>
      <c r="E54" s="77"/>
      <c r="F54" s="77"/>
      <c r="G54" s="77"/>
      <c r="H54" s="77"/>
      <c r="I54" s="77"/>
    </row>
    <row r="55" spans="1:9" ht="15.75" customHeight="1" x14ac:dyDescent="0.25">
      <c r="A55" s="77"/>
      <c r="B55" s="77"/>
      <c r="C55" s="77"/>
      <c r="D55" s="77"/>
      <c r="E55" s="77"/>
      <c r="F55" s="77"/>
      <c r="G55" s="77"/>
      <c r="H55" s="77"/>
      <c r="I55" s="77"/>
    </row>
    <row r="56" spans="1:9" ht="15.75" customHeight="1" x14ac:dyDescent="0.25">
      <c r="A56" s="77"/>
      <c r="B56" s="77"/>
      <c r="C56" s="77"/>
      <c r="D56" s="77"/>
      <c r="E56" s="77"/>
      <c r="F56" s="77"/>
      <c r="G56" s="77"/>
      <c r="H56" s="77"/>
      <c r="I56" s="77"/>
    </row>
    <row r="57" spans="1:9" ht="15.75" customHeight="1" x14ac:dyDescent="0.25">
      <c r="A57" s="77"/>
      <c r="B57" s="77"/>
      <c r="C57" s="77"/>
      <c r="D57" s="77"/>
      <c r="E57" s="77"/>
      <c r="F57" s="77"/>
      <c r="G57" s="77"/>
      <c r="H57" s="77"/>
    </row>
    <row r="58" spans="1:9" ht="15.75" customHeight="1" x14ac:dyDescent="0.25">
      <c r="A58" s="77"/>
      <c r="B58" s="77"/>
      <c r="C58" s="77"/>
      <c r="D58" s="77"/>
      <c r="E58" s="77"/>
      <c r="F58" s="77"/>
      <c r="G58" s="77"/>
      <c r="H58" s="77"/>
    </row>
    <row r="59" spans="1:9" ht="15.75" customHeight="1" x14ac:dyDescent="0.25">
      <c r="A59" s="77"/>
      <c r="B59" s="77"/>
      <c r="C59" s="77"/>
      <c r="D59" s="77"/>
      <c r="E59" s="77"/>
      <c r="F59" s="77"/>
      <c r="G59" s="77"/>
      <c r="H59" s="77"/>
    </row>
    <row r="60" spans="1:9" ht="15.75" customHeight="1" x14ac:dyDescent="0.25">
      <c r="A60" s="77"/>
      <c r="B60" s="77"/>
      <c r="C60" s="77"/>
      <c r="D60" s="77"/>
      <c r="E60" s="77"/>
      <c r="F60" s="77"/>
      <c r="G60" s="77"/>
      <c r="H60" s="77"/>
    </row>
    <row r="61" spans="1:9" ht="15.75" customHeight="1" x14ac:dyDescent="0.25">
      <c r="A61" s="77"/>
      <c r="B61" s="77"/>
      <c r="C61" s="77"/>
      <c r="D61" s="77"/>
      <c r="E61" s="77"/>
      <c r="F61" s="77"/>
      <c r="G61" s="77"/>
      <c r="H61" s="77"/>
    </row>
    <row r="62" spans="1:9" ht="15.75" customHeight="1" x14ac:dyDescent="0.25">
      <c r="A62" s="77"/>
      <c r="B62" s="77"/>
      <c r="C62" s="77"/>
      <c r="D62" s="77"/>
      <c r="E62" s="77"/>
      <c r="F62" s="77"/>
      <c r="G62" s="77"/>
      <c r="H62" s="77"/>
    </row>
    <row r="63" spans="1:9" ht="15.75" customHeight="1" x14ac:dyDescent="0.25">
      <c r="A63" s="77"/>
      <c r="B63" s="77"/>
      <c r="C63" s="77"/>
      <c r="D63" s="77"/>
      <c r="E63" s="77"/>
      <c r="F63" s="77"/>
      <c r="G63" s="77"/>
      <c r="H63" s="77"/>
    </row>
    <row r="64" spans="1:9" ht="15.75" customHeight="1" x14ac:dyDescent="0.25">
      <c r="A64" s="77"/>
      <c r="B64" s="77"/>
      <c r="C64" s="77"/>
      <c r="D64" s="77"/>
      <c r="E64" s="77"/>
      <c r="F64" s="77"/>
      <c r="G64" s="77"/>
      <c r="H64" s="77"/>
    </row>
    <row r="65" spans="1:8" ht="15.75" customHeight="1" x14ac:dyDescent="0.25">
      <c r="A65" s="77"/>
      <c r="B65" s="77"/>
      <c r="C65" s="77"/>
      <c r="D65" s="77"/>
      <c r="E65" s="77"/>
      <c r="F65" s="77"/>
      <c r="G65" s="77"/>
      <c r="H65" s="77"/>
    </row>
    <row r="66" spans="1:8" ht="15.75" customHeight="1" x14ac:dyDescent="0.25">
      <c r="A66" s="77"/>
      <c r="B66" s="77"/>
      <c r="C66" s="77"/>
      <c r="D66" s="77"/>
      <c r="E66" s="77"/>
      <c r="F66" s="77"/>
      <c r="G66" s="77"/>
      <c r="H66" s="77"/>
    </row>
    <row r="67" spans="1:8" ht="15.75" customHeight="1" x14ac:dyDescent="0.25">
      <c r="A67" s="77"/>
      <c r="B67" s="77"/>
      <c r="C67" s="77"/>
      <c r="D67" s="77"/>
      <c r="E67" s="77"/>
      <c r="F67" s="77"/>
      <c r="G67" s="77"/>
      <c r="H67" s="77"/>
    </row>
    <row r="68" spans="1:8" ht="15.75" customHeight="1" x14ac:dyDescent="0.25">
      <c r="A68" s="77"/>
      <c r="B68" s="77"/>
      <c r="C68" s="77"/>
      <c r="D68" s="77"/>
      <c r="E68" s="77"/>
      <c r="F68" s="77"/>
      <c r="G68" s="77"/>
      <c r="H68" s="77"/>
    </row>
    <row r="69" spans="1:8" ht="15.75" customHeight="1" x14ac:dyDescent="0.25">
      <c r="A69" s="77"/>
      <c r="B69" s="77"/>
      <c r="C69" s="77"/>
      <c r="D69" s="77"/>
      <c r="E69" s="77"/>
      <c r="F69" s="77"/>
      <c r="G69" s="77"/>
      <c r="H69" s="77"/>
    </row>
    <row r="70" spans="1:8" ht="15.75" customHeight="1" x14ac:dyDescent="0.25">
      <c r="A70" s="77"/>
      <c r="B70" s="77"/>
      <c r="C70" s="77"/>
      <c r="D70" s="77"/>
      <c r="E70" s="77"/>
      <c r="F70" s="77"/>
      <c r="G70" s="77"/>
      <c r="H70" s="77"/>
    </row>
    <row r="71" spans="1:8" ht="15.75" customHeight="1" x14ac:dyDescent="0.25">
      <c r="A71" s="77"/>
      <c r="B71" s="77"/>
      <c r="C71" s="77"/>
      <c r="D71" s="77"/>
      <c r="E71" s="77"/>
      <c r="F71" s="77"/>
      <c r="G71" s="77"/>
      <c r="H71" s="77"/>
    </row>
    <row r="72" spans="1:8" ht="15.75" customHeight="1" x14ac:dyDescent="0.25">
      <c r="A72" s="77"/>
      <c r="B72" s="77"/>
      <c r="C72" s="77"/>
      <c r="D72" s="77"/>
      <c r="E72" s="77"/>
      <c r="F72" s="77"/>
      <c r="G72" s="77"/>
      <c r="H72" s="77"/>
    </row>
    <row r="73" spans="1:8" ht="15.75" customHeight="1" x14ac:dyDescent="0.25">
      <c r="A73" s="77"/>
      <c r="B73" s="77"/>
      <c r="C73" s="77"/>
      <c r="D73" s="77"/>
      <c r="E73" s="77"/>
      <c r="F73" s="77"/>
      <c r="G73" s="77"/>
      <c r="H73" s="77"/>
    </row>
    <row r="74" spans="1:8" ht="15.75" customHeight="1" x14ac:dyDescent="0.25">
      <c r="A74" s="77"/>
      <c r="B74" s="77"/>
      <c r="C74" s="77"/>
      <c r="D74" s="77"/>
      <c r="E74" s="77"/>
      <c r="F74" s="77"/>
      <c r="G74" s="77"/>
      <c r="H74" s="77"/>
    </row>
    <row r="75" spans="1:8" ht="15.75" customHeight="1" x14ac:dyDescent="0.25">
      <c r="A75" s="77"/>
      <c r="B75" s="77"/>
      <c r="C75" s="77"/>
      <c r="D75" s="77"/>
      <c r="E75" s="77"/>
      <c r="F75" s="77"/>
      <c r="G75" s="77"/>
      <c r="H75" s="77"/>
    </row>
    <row r="76" spans="1:8" ht="15.75" customHeight="1" x14ac:dyDescent="0.25">
      <c r="A76" s="77"/>
      <c r="B76" s="77"/>
      <c r="C76" s="77"/>
      <c r="D76" s="77"/>
      <c r="E76" s="77"/>
      <c r="F76" s="77"/>
      <c r="G76" s="77"/>
      <c r="H76" s="77"/>
    </row>
    <row r="77" spans="1:8" ht="15.75" customHeight="1" x14ac:dyDescent="0.25">
      <c r="A77" s="77"/>
      <c r="B77" s="77"/>
      <c r="C77" s="77"/>
      <c r="D77" s="77"/>
      <c r="E77" s="77"/>
      <c r="F77" s="77"/>
      <c r="G77" s="77"/>
      <c r="H77" s="77"/>
    </row>
    <row r="78" spans="1:8" ht="15.75" customHeight="1" x14ac:dyDescent="0.25">
      <c r="A78" s="77"/>
      <c r="B78" s="77"/>
      <c r="C78" s="77"/>
      <c r="D78" s="77"/>
      <c r="E78" s="77"/>
      <c r="F78" s="77"/>
      <c r="G78" s="77"/>
      <c r="H78" s="77"/>
    </row>
    <row r="79" spans="1:8" ht="15.75" customHeight="1" x14ac:dyDescent="0.25">
      <c r="A79" s="77"/>
      <c r="B79" s="77"/>
      <c r="C79" s="77"/>
      <c r="D79" s="77"/>
      <c r="E79" s="77"/>
      <c r="F79" s="77"/>
      <c r="G79" s="77"/>
      <c r="H79" s="77"/>
    </row>
    <row r="80" spans="1:8" ht="15.75" customHeight="1" x14ac:dyDescent="0.25">
      <c r="A80" s="77"/>
      <c r="B80" s="77"/>
      <c r="C80" s="77"/>
      <c r="D80" s="77"/>
      <c r="E80" s="77"/>
      <c r="F80" s="77"/>
      <c r="G80" s="77"/>
      <c r="H80" s="77"/>
    </row>
    <row r="81" spans="1:8" ht="15.75" customHeight="1" x14ac:dyDescent="0.25">
      <c r="A81" s="77"/>
      <c r="B81" s="77"/>
      <c r="C81" s="77"/>
      <c r="D81" s="77"/>
      <c r="E81" s="77"/>
      <c r="F81" s="77"/>
      <c r="G81" s="77"/>
      <c r="H81" s="77"/>
    </row>
    <row r="82" spans="1:8" ht="15.75" customHeight="1" x14ac:dyDescent="0.25">
      <c r="A82" s="77"/>
      <c r="B82" s="77"/>
      <c r="C82" s="77"/>
      <c r="D82" s="77"/>
      <c r="E82" s="77"/>
      <c r="F82" s="77"/>
      <c r="G82" s="77"/>
      <c r="H82" s="77"/>
    </row>
    <row r="83" spans="1:8" ht="15.75" customHeight="1" x14ac:dyDescent="0.25">
      <c r="A83" s="77"/>
      <c r="B83" s="77"/>
      <c r="C83" s="77"/>
      <c r="D83" s="77"/>
      <c r="E83" s="77"/>
      <c r="F83" s="77"/>
      <c r="G83" s="77"/>
      <c r="H83" s="77"/>
    </row>
    <row r="84" spans="1:8" ht="15.75" customHeight="1" x14ac:dyDescent="0.25">
      <c r="A84" s="77"/>
      <c r="B84" s="77"/>
      <c r="C84" s="77"/>
      <c r="D84" s="77"/>
      <c r="E84" s="77"/>
      <c r="F84" s="77"/>
      <c r="G84" s="77"/>
      <c r="H84" s="77"/>
    </row>
    <row r="85" spans="1:8" ht="15.75" customHeight="1" x14ac:dyDescent="0.25">
      <c r="A85" s="77"/>
      <c r="B85" s="77"/>
      <c r="C85" s="77"/>
      <c r="D85" s="77"/>
      <c r="E85" s="77"/>
      <c r="F85" s="77"/>
      <c r="G85" s="77"/>
      <c r="H85" s="77"/>
    </row>
    <row r="86" spans="1:8" ht="15.75" customHeight="1" x14ac:dyDescent="0.25">
      <c r="A86" s="77"/>
      <c r="B86" s="77"/>
      <c r="C86" s="77"/>
      <c r="D86" s="77"/>
      <c r="E86" s="77"/>
      <c r="F86" s="77"/>
      <c r="G86" s="77"/>
      <c r="H86" s="77"/>
    </row>
    <row r="87" spans="1:8" ht="15.75" customHeight="1" x14ac:dyDescent="0.25">
      <c r="A87" s="77"/>
      <c r="B87" s="77"/>
      <c r="C87" s="77"/>
      <c r="D87" s="77"/>
      <c r="E87" s="77"/>
      <c r="F87" s="77"/>
      <c r="G87" s="77"/>
      <c r="H87" s="77"/>
    </row>
    <row r="88" spans="1:8" ht="15.75" customHeight="1" x14ac:dyDescent="0.25">
      <c r="A88" s="77"/>
      <c r="B88" s="77"/>
      <c r="C88" s="77"/>
      <c r="D88" s="77"/>
      <c r="E88" s="77"/>
      <c r="F88" s="77"/>
      <c r="G88" s="77"/>
      <c r="H88" s="77"/>
    </row>
    <row r="89" spans="1:8" ht="15.75" customHeight="1" x14ac:dyDescent="0.25">
      <c r="A89" s="77"/>
      <c r="B89" s="77"/>
      <c r="C89" s="77"/>
      <c r="D89" s="77"/>
      <c r="E89" s="77"/>
      <c r="F89" s="77"/>
      <c r="G89" s="77"/>
      <c r="H89" s="77"/>
    </row>
    <row r="90" spans="1:8" ht="15.75" customHeight="1" x14ac:dyDescent="0.25">
      <c r="A90" s="77"/>
      <c r="B90" s="77"/>
      <c r="C90" s="77"/>
      <c r="D90" s="77"/>
      <c r="E90" s="77"/>
      <c r="F90" s="77"/>
      <c r="G90" s="77"/>
      <c r="H90" s="77"/>
    </row>
    <row r="91" spans="1:8" ht="15.75" customHeight="1" x14ac:dyDescent="0.25">
      <c r="A91" s="77"/>
      <c r="B91" s="77"/>
      <c r="C91" s="77"/>
      <c r="D91" s="77"/>
      <c r="E91" s="77"/>
      <c r="F91" s="77"/>
      <c r="G91" s="77"/>
      <c r="H91" s="77"/>
    </row>
    <row r="92" spans="1:8" ht="15.75" customHeight="1" x14ac:dyDescent="0.25">
      <c r="A92" s="77"/>
      <c r="B92" s="77"/>
      <c r="C92" s="77"/>
      <c r="D92" s="77"/>
      <c r="E92" s="77"/>
      <c r="F92" s="77"/>
      <c r="G92" s="77"/>
      <c r="H92" s="77"/>
    </row>
    <row r="93" spans="1:8" ht="15.75" customHeight="1" x14ac:dyDescent="0.25">
      <c r="A93" s="77"/>
      <c r="B93" s="77"/>
      <c r="C93" s="77"/>
      <c r="D93" s="77"/>
      <c r="E93" s="77"/>
      <c r="F93" s="77"/>
      <c r="G93" s="77"/>
      <c r="H93" s="77"/>
    </row>
    <row r="94" spans="1:8" ht="15.75" customHeight="1" x14ac:dyDescent="0.25">
      <c r="A94" s="77"/>
      <c r="B94" s="77"/>
      <c r="C94" s="77"/>
      <c r="D94" s="77"/>
      <c r="E94" s="77"/>
      <c r="F94" s="77"/>
      <c r="G94" s="77"/>
      <c r="H94" s="77"/>
    </row>
    <row r="95" spans="1:8" ht="15.75" customHeight="1" x14ac:dyDescent="0.25">
      <c r="A95" s="77"/>
      <c r="B95" s="77"/>
      <c r="C95" s="77"/>
      <c r="D95" s="77"/>
      <c r="E95" s="77"/>
      <c r="F95" s="77"/>
      <c r="G95" s="77"/>
      <c r="H95" s="77"/>
    </row>
    <row r="96" spans="1:8" ht="15.75" customHeight="1" x14ac:dyDescent="0.25">
      <c r="A96" s="77"/>
      <c r="B96" s="77"/>
      <c r="C96" s="77"/>
      <c r="D96" s="77"/>
      <c r="E96" s="77"/>
      <c r="F96" s="77"/>
      <c r="G96" s="77"/>
      <c r="H96" s="77"/>
    </row>
    <row r="97" spans="1:8" ht="15.75" customHeight="1" x14ac:dyDescent="0.25">
      <c r="A97" s="77"/>
      <c r="B97" s="77"/>
      <c r="C97" s="77"/>
      <c r="D97" s="77"/>
      <c r="E97" s="77"/>
      <c r="F97" s="77"/>
      <c r="G97" s="77"/>
      <c r="H97" s="77"/>
    </row>
    <row r="98" spans="1:8" ht="15.75" customHeight="1" x14ac:dyDescent="0.25">
      <c r="A98" s="77"/>
      <c r="B98" s="77"/>
      <c r="C98" s="77"/>
      <c r="D98" s="77"/>
      <c r="E98" s="77"/>
      <c r="F98" s="77"/>
      <c r="G98" s="77"/>
      <c r="H98" s="77"/>
    </row>
    <row r="99" spans="1:8" ht="15.75" customHeight="1" x14ac:dyDescent="0.25">
      <c r="A99" s="77"/>
      <c r="B99" s="77"/>
      <c r="C99" s="77"/>
      <c r="D99" s="77"/>
      <c r="E99" s="77"/>
      <c r="F99" s="77"/>
      <c r="G99" s="77"/>
      <c r="H99" s="77"/>
    </row>
    <row r="100" spans="1:8" ht="15.75" customHeight="1" x14ac:dyDescent="0.25">
      <c r="A100" s="77"/>
      <c r="B100" s="77"/>
      <c r="C100" s="77"/>
      <c r="D100" s="77"/>
      <c r="E100" s="77"/>
      <c r="F100" s="77"/>
      <c r="G100" s="77"/>
      <c r="H100" s="77"/>
    </row>
    <row r="101" spans="1:8" ht="15.75" customHeight="1" x14ac:dyDescent="0.25">
      <c r="A101" s="77"/>
      <c r="B101" s="77"/>
      <c r="C101" s="77"/>
      <c r="D101" s="77"/>
      <c r="E101" s="77"/>
      <c r="F101" s="77"/>
      <c r="G101" s="77"/>
      <c r="H101" s="77"/>
    </row>
    <row r="102" spans="1:8" ht="15.75" customHeight="1" x14ac:dyDescent="0.25">
      <c r="A102" s="77"/>
      <c r="B102" s="77"/>
      <c r="C102" s="77"/>
      <c r="D102" s="77"/>
      <c r="E102" s="77"/>
      <c r="F102" s="77"/>
      <c r="G102" s="77"/>
      <c r="H102" s="77"/>
    </row>
    <row r="103" spans="1:8" ht="15.75" customHeight="1" x14ac:dyDescent="0.25">
      <c r="A103" s="77"/>
      <c r="B103" s="77"/>
      <c r="C103" s="77"/>
      <c r="D103" s="77"/>
      <c r="E103" s="77"/>
      <c r="F103" s="77"/>
      <c r="G103" s="77"/>
      <c r="H103" s="77"/>
    </row>
    <row r="104" spans="1:8" ht="15.75" customHeight="1" x14ac:dyDescent="0.25">
      <c r="A104" s="77"/>
      <c r="B104" s="77"/>
      <c r="C104" s="77"/>
      <c r="D104" s="77"/>
      <c r="E104" s="77"/>
      <c r="F104" s="77"/>
      <c r="G104" s="77"/>
      <c r="H104" s="77"/>
    </row>
    <row r="105" spans="1:8" ht="15.75" customHeight="1" x14ac:dyDescent="0.25">
      <c r="A105" s="77"/>
      <c r="B105" s="77"/>
      <c r="C105" s="77"/>
      <c r="D105" s="77"/>
      <c r="E105" s="77"/>
      <c r="F105" s="77"/>
      <c r="G105" s="77"/>
      <c r="H105" s="77"/>
    </row>
    <row r="106" spans="1:8" ht="15.75" customHeight="1" x14ac:dyDescent="0.25">
      <c r="A106" s="77"/>
      <c r="B106" s="77"/>
      <c r="C106" s="77"/>
      <c r="D106" s="77"/>
      <c r="E106" s="77"/>
      <c r="F106" s="77"/>
      <c r="G106" s="77"/>
      <c r="H106" s="77"/>
    </row>
    <row r="107" spans="1:8" ht="15.75" customHeight="1" x14ac:dyDescent="0.25">
      <c r="A107" s="77"/>
      <c r="B107" s="77"/>
      <c r="C107" s="77"/>
      <c r="D107" s="77"/>
      <c r="E107" s="77"/>
      <c r="F107" s="77"/>
      <c r="G107" s="77"/>
      <c r="H107" s="77"/>
    </row>
    <row r="108" spans="1:8" ht="15.75" customHeight="1" x14ac:dyDescent="0.25">
      <c r="A108" s="77"/>
      <c r="B108" s="77"/>
      <c r="C108" s="77"/>
      <c r="D108" s="77"/>
      <c r="E108" s="77"/>
      <c r="F108" s="77"/>
      <c r="G108" s="77"/>
      <c r="H108" s="77"/>
    </row>
    <row r="109" spans="1:8" ht="15.75" customHeight="1" x14ac:dyDescent="0.25">
      <c r="A109" s="77"/>
      <c r="B109" s="77"/>
      <c r="C109" s="77"/>
      <c r="D109" s="77"/>
      <c r="E109" s="77"/>
      <c r="F109" s="77"/>
      <c r="G109" s="77"/>
      <c r="H109" s="77"/>
    </row>
    <row r="110" spans="1:8" ht="15.75" customHeight="1" x14ac:dyDescent="0.25">
      <c r="A110" s="77"/>
      <c r="B110" s="77"/>
      <c r="C110" s="77"/>
      <c r="D110" s="77"/>
      <c r="E110" s="77"/>
      <c r="F110" s="77"/>
      <c r="G110" s="77"/>
      <c r="H110" s="77"/>
    </row>
    <row r="111" spans="1:8" ht="15.75" customHeight="1" x14ac:dyDescent="0.25">
      <c r="A111" s="77"/>
      <c r="B111" s="77"/>
      <c r="C111" s="77"/>
      <c r="D111" s="77"/>
      <c r="E111" s="77"/>
      <c r="F111" s="77"/>
      <c r="G111" s="77"/>
      <c r="H111" s="77"/>
    </row>
    <row r="112" spans="1:8" ht="15.75" customHeight="1" x14ac:dyDescent="0.25">
      <c r="A112" s="77"/>
      <c r="B112" s="77"/>
      <c r="C112" s="77"/>
      <c r="D112" s="77"/>
      <c r="E112" s="77"/>
      <c r="F112" s="77"/>
      <c r="G112" s="77"/>
      <c r="H112" s="77"/>
    </row>
    <row r="113" spans="1:8" ht="15.75" customHeight="1" x14ac:dyDescent="0.25">
      <c r="A113" s="77"/>
      <c r="B113" s="77"/>
      <c r="C113" s="77"/>
      <c r="D113" s="77"/>
      <c r="E113" s="77"/>
      <c r="F113" s="77"/>
      <c r="G113" s="77"/>
      <c r="H113" s="77"/>
    </row>
    <row r="114" spans="1:8" ht="15.75" customHeight="1" x14ac:dyDescent="0.25">
      <c r="A114" s="77"/>
      <c r="B114" s="77"/>
      <c r="C114" s="77"/>
      <c r="D114" s="77"/>
      <c r="E114" s="77"/>
      <c r="F114" s="77"/>
      <c r="G114" s="77"/>
      <c r="H114" s="77"/>
    </row>
    <row r="115" spans="1:8" ht="15.75" customHeight="1" x14ac:dyDescent="0.25">
      <c r="A115" s="77"/>
      <c r="B115" s="77"/>
      <c r="C115" s="77"/>
      <c r="D115" s="77"/>
      <c r="E115" s="77"/>
      <c r="F115" s="77"/>
      <c r="G115" s="77"/>
      <c r="H115" s="77"/>
    </row>
    <row r="116" spans="1:8" ht="15.75" customHeight="1" x14ac:dyDescent="0.25">
      <c r="A116" s="77"/>
      <c r="B116" s="77"/>
      <c r="C116" s="77"/>
      <c r="D116" s="77"/>
      <c r="E116" s="77"/>
      <c r="F116" s="77"/>
      <c r="G116" s="77"/>
      <c r="H116" s="77"/>
    </row>
    <row r="117" spans="1:8" ht="15.75" customHeight="1" x14ac:dyDescent="0.25">
      <c r="A117" s="77"/>
      <c r="B117" s="77"/>
      <c r="C117" s="77"/>
      <c r="D117" s="77"/>
      <c r="E117" s="77"/>
      <c r="F117" s="77"/>
      <c r="G117" s="77"/>
      <c r="H117" s="77"/>
    </row>
    <row r="118" spans="1:8" ht="15.75" customHeight="1" x14ac:dyDescent="0.25">
      <c r="A118" s="77"/>
      <c r="B118" s="77"/>
      <c r="C118" s="77"/>
      <c r="D118" s="77"/>
      <c r="E118" s="77"/>
      <c r="F118" s="77"/>
      <c r="G118" s="77"/>
      <c r="H118" s="77"/>
    </row>
    <row r="119" spans="1:8" ht="15.75" customHeight="1" x14ac:dyDescent="0.25">
      <c r="A119" s="77"/>
      <c r="B119" s="77"/>
      <c r="C119" s="77"/>
      <c r="D119" s="77"/>
      <c r="E119" s="77"/>
      <c r="F119" s="77"/>
      <c r="G119" s="77"/>
      <c r="H119" s="77"/>
    </row>
    <row r="120" spans="1:8" ht="15.75" customHeight="1" x14ac:dyDescent="0.25">
      <c r="A120" s="77"/>
      <c r="B120" s="77"/>
      <c r="C120" s="77"/>
      <c r="D120" s="77"/>
      <c r="E120" s="77"/>
      <c r="F120" s="77"/>
      <c r="G120" s="77"/>
      <c r="H120" s="77"/>
    </row>
    <row r="121" spans="1:8" ht="15.75" customHeight="1" x14ac:dyDescent="0.25">
      <c r="A121" s="77"/>
      <c r="B121" s="77"/>
      <c r="C121" s="77"/>
      <c r="D121" s="77"/>
      <c r="E121" s="77"/>
      <c r="F121" s="77"/>
      <c r="G121" s="77"/>
      <c r="H121" s="77"/>
    </row>
    <row r="122" spans="1:8" ht="15.75" customHeight="1" x14ac:dyDescent="0.25">
      <c r="A122" s="77"/>
      <c r="B122" s="77"/>
      <c r="C122" s="77"/>
      <c r="D122" s="77"/>
      <c r="E122" s="77"/>
      <c r="F122" s="77"/>
      <c r="G122" s="77"/>
      <c r="H122" s="77"/>
    </row>
    <row r="123" spans="1:8" ht="15.75" customHeight="1" x14ac:dyDescent="0.25">
      <c r="A123" s="77"/>
      <c r="B123" s="77"/>
      <c r="C123" s="77"/>
      <c r="D123" s="77"/>
      <c r="E123" s="77"/>
      <c r="F123" s="77"/>
      <c r="G123" s="77"/>
      <c r="H123" s="77"/>
    </row>
    <row r="124" spans="1:8" ht="15.75" customHeight="1" x14ac:dyDescent="0.25">
      <c r="A124" s="77"/>
      <c r="B124" s="77"/>
      <c r="C124" s="77"/>
      <c r="D124" s="77"/>
      <c r="E124" s="77"/>
      <c r="F124" s="77"/>
      <c r="G124" s="77"/>
      <c r="H124" s="77"/>
    </row>
    <row r="125" spans="1:8" ht="15.75" customHeight="1" x14ac:dyDescent="0.25">
      <c r="A125" s="77"/>
      <c r="B125" s="77"/>
      <c r="C125" s="77"/>
      <c r="D125" s="77"/>
      <c r="E125" s="77"/>
      <c r="F125" s="77"/>
      <c r="G125" s="77"/>
      <c r="H125" s="77"/>
    </row>
    <row r="126" spans="1:8" ht="15.75" customHeight="1" x14ac:dyDescent="0.25">
      <c r="A126" s="77"/>
      <c r="B126" s="77"/>
      <c r="C126" s="77"/>
      <c r="D126" s="77"/>
      <c r="E126" s="77"/>
      <c r="F126" s="77"/>
      <c r="G126" s="77"/>
      <c r="H126" s="77"/>
    </row>
    <row r="127" spans="1:8" ht="15.75" customHeight="1" x14ac:dyDescent="0.25">
      <c r="A127" s="77"/>
      <c r="B127" s="77"/>
      <c r="C127" s="77"/>
      <c r="D127" s="77"/>
      <c r="E127" s="77"/>
      <c r="F127" s="77"/>
      <c r="G127" s="77"/>
      <c r="H127" s="77"/>
    </row>
    <row r="128" spans="1:8" ht="15.75" customHeight="1" x14ac:dyDescent="0.25">
      <c r="A128" s="77"/>
      <c r="B128" s="77"/>
      <c r="C128" s="77"/>
      <c r="D128" s="77"/>
      <c r="E128" s="77"/>
      <c r="F128" s="77"/>
      <c r="G128" s="77"/>
      <c r="H128" s="77"/>
    </row>
    <row r="129" spans="1:8" ht="15.75" customHeight="1" x14ac:dyDescent="0.25">
      <c r="A129" s="77"/>
      <c r="B129" s="77"/>
      <c r="C129" s="77"/>
      <c r="D129" s="77"/>
      <c r="E129" s="77"/>
      <c r="F129" s="77"/>
      <c r="G129" s="77"/>
      <c r="H129" s="77"/>
    </row>
    <row r="130" spans="1:8" ht="15.75" customHeight="1" x14ac:dyDescent="0.25">
      <c r="A130" s="77"/>
      <c r="B130" s="77"/>
      <c r="C130" s="77"/>
      <c r="D130" s="77"/>
      <c r="E130" s="77"/>
      <c r="F130" s="77"/>
      <c r="G130" s="77"/>
      <c r="H130" s="77"/>
    </row>
    <row r="131" spans="1:8" ht="15.75" customHeight="1" x14ac:dyDescent="0.25">
      <c r="A131" s="77"/>
      <c r="B131" s="77"/>
      <c r="C131" s="77"/>
      <c r="D131" s="77"/>
      <c r="E131" s="77"/>
      <c r="F131" s="77"/>
      <c r="G131" s="77"/>
      <c r="H131" s="77"/>
    </row>
    <row r="132" spans="1:8" ht="15.75" customHeight="1" x14ac:dyDescent="0.25">
      <c r="A132" s="77"/>
      <c r="B132" s="77"/>
      <c r="C132" s="77"/>
      <c r="D132" s="77"/>
      <c r="E132" s="77"/>
      <c r="F132" s="77"/>
      <c r="G132" s="77"/>
      <c r="H132" s="77"/>
    </row>
    <row r="133" spans="1:8" ht="15.75" customHeight="1" x14ac:dyDescent="0.25">
      <c r="A133" s="77"/>
      <c r="B133" s="77"/>
      <c r="C133" s="77"/>
      <c r="D133" s="77"/>
      <c r="E133" s="77"/>
      <c r="F133" s="77"/>
      <c r="G133" s="77"/>
      <c r="H133" s="77"/>
    </row>
    <row r="134" spans="1:8" ht="15.75" customHeight="1" x14ac:dyDescent="0.25">
      <c r="A134" s="77"/>
      <c r="B134" s="77"/>
      <c r="C134" s="77"/>
      <c r="D134" s="77"/>
      <c r="E134" s="77"/>
      <c r="F134" s="77"/>
      <c r="G134" s="77"/>
      <c r="H134" s="77"/>
    </row>
    <row r="135" spans="1:8" ht="15.75" customHeight="1" x14ac:dyDescent="0.25">
      <c r="A135" s="77"/>
      <c r="B135" s="77"/>
      <c r="C135" s="77"/>
      <c r="D135" s="77"/>
      <c r="E135" s="77"/>
      <c r="F135" s="77"/>
      <c r="G135" s="77"/>
      <c r="H135" s="77"/>
    </row>
    <row r="136" spans="1:8" ht="15.75" customHeight="1" x14ac:dyDescent="0.25">
      <c r="A136" s="77"/>
      <c r="B136" s="77"/>
      <c r="C136" s="77"/>
      <c r="D136" s="77"/>
      <c r="E136" s="77"/>
      <c r="F136" s="77"/>
      <c r="G136" s="77"/>
      <c r="H136" s="77"/>
    </row>
    <row r="137" spans="1:8" ht="15.75" customHeight="1" x14ac:dyDescent="0.25">
      <c r="A137" s="77"/>
      <c r="B137" s="77"/>
      <c r="C137" s="77"/>
      <c r="D137" s="77"/>
      <c r="E137" s="77"/>
      <c r="F137" s="77"/>
      <c r="G137" s="77"/>
      <c r="H137" s="77"/>
    </row>
    <row r="138" spans="1:8" ht="15.75" customHeight="1" x14ac:dyDescent="0.25">
      <c r="A138" s="77"/>
      <c r="B138" s="77"/>
      <c r="C138" s="77"/>
      <c r="D138" s="77"/>
      <c r="E138" s="77"/>
      <c r="F138" s="77"/>
      <c r="G138" s="77"/>
      <c r="H138" s="77"/>
    </row>
    <row r="139" spans="1:8" ht="15.75" customHeight="1" x14ac:dyDescent="0.25">
      <c r="A139" s="77"/>
      <c r="B139" s="77"/>
      <c r="C139" s="77"/>
      <c r="D139" s="77"/>
      <c r="E139" s="77"/>
      <c r="F139" s="77"/>
      <c r="G139" s="77"/>
      <c r="H139" s="77"/>
    </row>
    <row r="140" spans="1:8" ht="15.75" customHeight="1" x14ac:dyDescent="0.25">
      <c r="A140" s="77"/>
      <c r="B140" s="77"/>
      <c r="C140" s="77"/>
      <c r="D140" s="77"/>
      <c r="E140" s="77"/>
      <c r="F140" s="77"/>
      <c r="G140" s="77"/>
      <c r="H140" s="77"/>
    </row>
    <row r="141" spans="1:8" ht="15.75" customHeight="1" x14ac:dyDescent="0.25">
      <c r="A141" s="77"/>
      <c r="B141" s="77"/>
      <c r="C141" s="77"/>
      <c r="D141" s="77"/>
      <c r="E141" s="77"/>
      <c r="F141" s="77"/>
      <c r="G141" s="77"/>
      <c r="H141" s="77"/>
    </row>
    <row r="142" spans="1:8" ht="15.75" customHeight="1" x14ac:dyDescent="0.25">
      <c r="A142" s="77"/>
      <c r="B142" s="77"/>
      <c r="C142" s="77"/>
      <c r="D142" s="77"/>
      <c r="E142" s="77"/>
      <c r="F142" s="77"/>
      <c r="G142" s="77"/>
      <c r="H142" s="77"/>
    </row>
    <row r="143" spans="1:8" ht="15.75" customHeight="1" x14ac:dyDescent="0.25">
      <c r="A143" s="77"/>
      <c r="B143" s="77"/>
      <c r="C143" s="77"/>
      <c r="D143" s="77"/>
      <c r="E143" s="77"/>
      <c r="F143" s="77"/>
      <c r="G143" s="77"/>
      <c r="H143" s="77"/>
    </row>
    <row r="144" spans="1:8" ht="15.75" customHeight="1" x14ac:dyDescent="0.25">
      <c r="A144" s="77"/>
      <c r="B144" s="77"/>
      <c r="C144" s="77"/>
      <c r="D144" s="77"/>
      <c r="E144" s="77"/>
      <c r="F144" s="77"/>
      <c r="G144" s="77"/>
      <c r="H144" s="77"/>
    </row>
    <row r="145" spans="1:8" ht="15.75" customHeight="1" x14ac:dyDescent="0.25">
      <c r="A145" s="77"/>
      <c r="B145" s="77"/>
      <c r="C145" s="77"/>
      <c r="D145" s="77"/>
      <c r="E145" s="77"/>
      <c r="F145" s="77"/>
      <c r="G145" s="77"/>
      <c r="H145" s="77"/>
    </row>
    <row r="146" spans="1:8" ht="15.75" customHeight="1" x14ac:dyDescent="0.25">
      <c r="A146" s="77"/>
      <c r="B146" s="77"/>
      <c r="C146" s="77"/>
      <c r="D146" s="77"/>
      <c r="E146" s="77"/>
      <c r="F146" s="77"/>
      <c r="G146" s="77"/>
      <c r="H146" s="77"/>
    </row>
    <row r="147" spans="1:8" ht="15.75" customHeight="1" x14ac:dyDescent="0.25">
      <c r="A147" s="77"/>
      <c r="B147" s="77"/>
      <c r="C147" s="77"/>
      <c r="D147" s="77"/>
      <c r="E147" s="77"/>
      <c r="F147" s="77"/>
      <c r="G147" s="77"/>
      <c r="H147" s="77"/>
    </row>
    <row r="148" spans="1:8" ht="15.75" customHeight="1" x14ac:dyDescent="0.25">
      <c r="A148" s="77"/>
      <c r="B148" s="77"/>
      <c r="C148" s="77"/>
      <c r="D148" s="77"/>
      <c r="E148" s="77"/>
      <c r="F148" s="77"/>
      <c r="G148" s="77"/>
      <c r="H148" s="77"/>
    </row>
    <row r="149" spans="1:8" ht="15.75" customHeight="1" x14ac:dyDescent="0.25">
      <c r="A149" s="77"/>
      <c r="B149" s="77"/>
      <c r="C149" s="77"/>
      <c r="D149" s="77"/>
      <c r="E149" s="77"/>
      <c r="F149" s="77"/>
      <c r="G149" s="77"/>
      <c r="H149" s="77"/>
    </row>
    <row r="150" spans="1:8" ht="15.75" customHeight="1" x14ac:dyDescent="0.25">
      <c r="A150" s="77"/>
      <c r="B150" s="77"/>
      <c r="C150" s="77"/>
      <c r="D150" s="77"/>
      <c r="E150" s="77"/>
      <c r="F150" s="77"/>
      <c r="G150" s="77"/>
      <c r="H150" s="77"/>
    </row>
    <row r="151" spans="1:8" ht="15.75" customHeight="1" x14ac:dyDescent="0.25">
      <c r="A151" s="77"/>
      <c r="B151" s="77"/>
      <c r="C151" s="77"/>
      <c r="D151" s="77"/>
      <c r="E151" s="77"/>
      <c r="F151" s="77"/>
      <c r="G151" s="77"/>
      <c r="H151" s="77"/>
    </row>
    <row r="152" spans="1:8" ht="15.75" customHeight="1" x14ac:dyDescent="0.25">
      <c r="A152" s="77"/>
      <c r="B152" s="77"/>
      <c r="C152" s="77"/>
      <c r="D152" s="77"/>
      <c r="E152" s="77"/>
      <c r="F152" s="77"/>
      <c r="G152" s="77"/>
      <c r="H152" s="77"/>
    </row>
    <row r="153" spans="1:8" ht="15.75" customHeight="1" x14ac:dyDescent="0.25">
      <c r="A153" s="77"/>
      <c r="B153" s="77"/>
      <c r="C153" s="77"/>
      <c r="D153" s="77"/>
      <c r="E153" s="77"/>
      <c r="F153" s="77"/>
      <c r="G153" s="77"/>
      <c r="H153" s="77"/>
    </row>
    <row r="154" spans="1:8" ht="15.75" customHeight="1" x14ac:dyDescent="0.25">
      <c r="A154" s="77"/>
      <c r="B154" s="77"/>
      <c r="C154" s="77"/>
      <c r="D154" s="77"/>
      <c r="E154" s="77"/>
      <c r="F154" s="77"/>
      <c r="G154" s="77"/>
      <c r="H154" s="77"/>
    </row>
    <row r="155" spans="1:8" ht="15.75" customHeight="1" x14ac:dyDescent="0.25">
      <c r="A155" s="77"/>
      <c r="B155" s="77"/>
      <c r="C155" s="77"/>
      <c r="D155" s="77"/>
      <c r="E155" s="77"/>
      <c r="F155" s="77"/>
      <c r="G155" s="77"/>
      <c r="H155" s="77"/>
    </row>
    <row r="156" spans="1:8" ht="15.75" customHeight="1" x14ac:dyDescent="0.25">
      <c r="A156" s="77"/>
      <c r="B156" s="77"/>
      <c r="C156" s="77"/>
      <c r="D156" s="77"/>
      <c r="E156" s="77"/>
      <c r="F156" s="77"/>
      <c r="G156" s="77"/>
      <c r="H156" s="77"/>
    </row>
    <row r="157" spans="1:8" ht="15.75" customHeight="1" x14ac:dyDescent="0.25">
      <c r="A157" s="77"/>
      <c r="B157" s="77"/>
      <c r="C157" s="77"/>
      <c r="D157" s="77"/>
      <c r="E157" s="77"/>
      <c r="F157" s="77"/>
      <c r="G157" s="77"/>
      <c r="H157" s="77"/>
    </row>
    <row r="158" spans="1:8" ht="15.75" customHeight="1" x14ac:dyDescent="0.25">
      <c r="A158" s="77"/>
      <c r="B158" s="77"/>
      <c r="C158" s="77"/>
      <c r="D158" s="77"/>
      <c r="E158" s="77"/>
      <c r="F158" s="77"/>
      <c r="G158" s="77"/>
      <c r="H158" s="77"/>
    </row>
    <row r="159" spans="1:8" ht="15.75" customHeight="1" x14ac:dyDescent="0.25">
      <c r="A159" s="77"/>
      <c r="B159" s="77"/>
      <c r="C159" s="77"/>
      <c r="D159" s="77"/>
      <c r="E159" s="77"/>
      <c r="F159" s="77"/>
      <c r="G159" s="77"/>
      <c r="H159" s="77"/>
    </row>
    <row r="160" spans="1:8" ht="15.75" customHeight="1" x14ac:dyDescent="0.25">
      <c r="A160" s="77"/>
      <c r="B160" s="77"/>
      <c r="C160" s="77"/>
      <c r="D160" s="77"/>
      <c r="E160" s="77"/>
      <c r="F160" s="77"/>
      <c r="G160" s="77"/>
      <c r="H160" s="77"/>
    </row>
    <row r="161" spans="1:8" ht="15.75" customHeight="1" x14ac:dyDescent="0.25">
      <c r="A161" s="77"/>
      <c r="B161" s="77"/>
      <c r="C161" s="77"/>
      <c r="D161" s="77"/>
      <c r="E161" s="77"/>
      <c r="F161" s="77"/>
      <c r="G161" s="77"/>
      <c r="H161" s="77"/>
    </row>
    <row r="162" spans="1:8" ht="15.75" customHeight="1" x14ac:dyDescent="0.25">
      <c r="A162" s="77"/>
      <c r="B162" s="77"/>
      <c r="C162" s="77"/>
      <c r="D162" s="77"/>
      <c r="E162" s="77"/>
      <c r="F162" s="77"/>
      <c r="G162" s="77"/>
      <c r="H162" s="77"/>
    </row>
    <row r="163" spans="1:8" ht="15.75" customHeight="1" x14ac:dyDescent="0.25">
      <c r="A163" s="77"/>
      <c r="B163" s="77"/>
      <c r="C163" s="77"/>
      <c r="D163" s="77"/>
      <c r="E163" s="77"/>
      <c r="F163" s="77"/>
      <c r="G163" s="77"/>
      <c r="H163" s="77"/>
    </row>
    <row r="164" spans="1:8" ht="15.75" customHeight="1" x14ac:dyDescent="0.25">
      <c r="A164" s="77"/>
      <c r="B164" s="77"/>
      <c r="C164" s="77"/>
      <c r="D164" s="77"/>
      <c r="E164" s="77"/>
      <c r="F164" s="77"/>
      <c r="G164" s="77"/>
      <c r="H164" s="77"/>
    </row>
    <row r="165" spans="1:8" ht="15.75" customHeight="1" x14ac:dyDescent="0.25">
      <c r="A165" s="77"/>
      <c r="B165" s="77"/>
      <c r="C165" s="77"/>
      <c r="D165" s="77"/>
      <c r="E165" s="77"/>
      <c r="F165" s="77"/>
      <c r="G165" s="77"/>
      <c r="H165" s="77"/>
    </row>
    <row r="166" spans="1:8" ht="15.75" customHeight="1" x14ac:dyDescent="0.25">
      <c r="A166" s="77"/>
      <c r="B166" s="77"/>
      <c r="C166" s="77"/>
      <c r="D166" s="77"/>
      <c r="E166" s="77"/>
      <c r="F166" s="77"/>
      <c r="G166" s="77"/>
      <c r="H166" s="77"/>
    </row>
    <row r="167" spans="1:8" ht="15.75" customHeight="1" x14ac:dyDescent="0.25">
      <c r="A167" s="77"/>
      <c r="B167" s="77"/>
      <c r="C167" s="77"/>
      <c r="D167" s="77"/>
      <c r="E167" s="77"/>
      <c r="F167" s="77"/>
      <c r="G167" s="77"/>
      <c r="H167" s="77"/>
    </row>
    <row r="168" spans="1:8" ht="15.75" customHeight="1" x14ac:dyDescent="0.25">
      <c r="A168" s="77"/>
      <c r="B168" s="77"/>
      <c r="C168" s="77"/>
      <c r="D168" s="77"/>
      <c r="E168" s="77"/>
      <c r="F168" s="77"/>
      <c r="G168" s="77"/>
      <c r="H168" s="77"/>
    </row>
    <row r="169" spans="1:8" ht="15.75" customHeight="1" x14ac:dyDescent="0.25">
      <c r="A169" s="77"/>
      <c r="B169" s="77"/>
      <c r="C169" s="77"/>
      <c r="D169" s="77"/>
      <c r="E169" s="77"/>
      <c r="F169" s="77"/>
      <c r="G169" s="77"/>
      <c r="H169" s="77"/>
    </row>
    <row r="170" spans="1:8" ht="15.75" customHeight="1" x14ac:dyDescent="0.25">
      <c r="A170" s="77"/>
      <c r="B170" s="77"/>
      <c r="C170" s="77"/>
      <c r="D170" s="77"/>
      <c r="E170" s="77"/>
      <c r="F170" s="77"/>
      <c r="G170" s="77"/>
      <c r="H170" s="77"/>
    </row>
    <row r="171" spans="1:8" ht="15.75" customHeight="1" x14ac:dyDescent="0.25">
      <c r="A171" s="77"/>
      <c r="B171" s="77"/>
      <c r="C171" s="77"/>
      <c r="D171" s="77"/>
      <c r="E171" s="77"/>
      <c r="F171" s="77"/>
      <c r="G171" s="77"/>
      <c r="H171" s="77"/>
    </row>
    <row r="172" spans="1:8" ht="15.75" customHeight="1" x14ac:dyDescent="0.25">
      <c r="A172" s="77"/>
      <c r="B172" s="77"/>
      <c r="C172" s="77"/>
      <c r="D172" s="77"/>
      <c r="E172" s="77"/>
      <c r="F172" s="77"/>
      <c r="G172" s="77"/>
      <c r="H172" s="77"/>
    </row>
    <row r="173" spans="1:8" ht="15.75" customHeight="1" x14ac:dyDescent="0.25">
      <c r="A173" s="77"/>
      <c r="B173" s="77"/>
      <c r="C173" s="77"/>
      <c r="D173" s="77"/>
      <c r="E173" s="77"/>
      <c r="F173" s="77"/>
      <c r="G173" s="77"/>
      <c r="H173" s="77"/>
    </row>
    <row r="174" spans="1:8" ht="15.75" customHeight="1" x14ac:dyDescent="0.25">
      <c r="A174" s="77"/>
      <c r="B174" s="77"/>
      <c r="C174" s="77"/>
      <c r="D174" s="77"/>
      <c r="E174" s="77"/>
      <c r="F174" s="77"/>
      <c r="G174" s="77"/>
      <c r="H174" s="77"/>
    </row>
    <row r="175" spans="1:8" ht="15.75" customHeight="1" x14ac:dyDescent="0.25">
      <c r="A175" s="77"/>
      <c r="B175" s="77"/>
      <c r="C175" s="77"/>
      <c r="D175" s="77"/>
      <c r="E175" s="77"/>
      <c r="F175" s="77"/>
      <c r="G175" s="77"/>
      <c r="H175" s="77"/>
    </row>
    <row r="176" spans="1:8" ht="15.75" customHeight="1" x14ac:dyDescent="0.25">
      <c r="A176" s="77"/>
      <c r="B176" s="77"/>
      <c r="C176" s="77"/>
      <c r="D176" s="77"/>
      <c r="E176" s="77"/>
      <c r="F176" s="77"/>
      <c r="G176" s="77"/>
      <c r="H176" s="77"/>
    </row>
    <row r="177" spans="1:8" ht="15.75" customHeight="1" x14ac:dyDescent="0.25">
      <c r="A177" s="77"/>
      <c r="B177" s="77"/>
      <c r="C177" s="77"/>
      <c r="D177" s="77"/>
      <c r="E177" s="77"/>
      <c r="F177" s="77"/>
      <c r="G177" s="77"/>
      <c r="H177" s="77"/>
    </row>
    <row r="178" spans="1:8" ht="15.75" customHeight="1" x14ac:dyDescent="0.25">
      <c r="A178" s="77"/>
      <c r="B178" s="77"/>
      <c r="C178" s="77"/>
      <c r="D178" s="77"/>
      <c r="E178" s="77"/>
      <c r="F178" s="77"/>
      <c r="G178" s="77"/>
      <c r="H178" s="77"/>
    </row>
    <row r="179" spans="1:8" ht="15.75" customHeight="1" x14ac:dyDescent="0.25">
      <c r="A179" s="77"/>
      <c r="B179" s="77"/>
      <c r="C179" s="77"/>
      <c r="D179" s="77"/>
      <c r="E179" s="77"/>
      <c r="F179" s="77"/>
      <c r="G179" s="77"/>
      <c r="H179" s="77"/>
    </row>
    <row r="180" spans="1:8" ht="15.75" customHeight="1" x14ac:dyDescent="0.25">
      <c r="A180" s="77"/>
      <c r="B180" s="77"/>
      <c r="C180" s="77"/>
      <c r="D180" s="77"/>
      <c r="E180" s="77"/>
      <c r="F180" s="77"/>
      <c r="G180" s="77"/>
      <c r="H180" s="77"/>
    </row>
    <row r="181" spans="1:8" ht="15.75" customHeight="1" x14ac:dyDescent="0.25">
      <c r="A181" s="77"/>
      <c r="B181" s="77"/>
      <c r="C181" s="77"/>
      <c r="D181" s="77"/>
      <c r="E181" s="77"/>
      <c r="F181" s="77"/>
      <c r="G181" s="77"/>
      <c r="H181" s="77"/>
    </row>
    <row r="182" spans="1:8" ht="15.75" customHeight="1" x14ac:dyDescent="0.25">
      <c r="A182" s="77"/>
      <c r="B182" s="77"/>
      <c r="C182" s="77"/>
      <c r="D182" s="77"/>
      <c r="E182" s="77"/>
      <c r="F182" s="77"/>
      <c r="G182" s="77"/>
      <c r="H182" s="77"/>
    </row>
    <row r="183" spans="1:8" ht="15.75" customHeight="1" x14ac:dyDescent="0.25">
      <c r="A183" s="77"/>
      <c r="B183" s="77"/>
      <c r="C183" s="77"/>
      <c r="D183" s="77"/>
      <c r="E183" s="77"/>
      <c r="F183" s="77"/>
      <c r="G183" s="77"/>
      <c r="H183" s="77"/>
    </row>
    <row r="184" spans="1:8" ht="15.75" customHeight="1" x14ac:dyDescent="0.25">
      <c r="A184" s="77"/>
      <c r="B184" s="77"/>
      <c r="C184" s="77"/>
      <c r="D184" s="77"/>
      <c r="E184" s="77"/>
      <c r="F184" s="77"/>
      <c r="G184" s="77"/>
      <c r="H184" s="77"/>
    </row>
    <row r="185" spans="1:8" ht="15.75" customHeight="1" x14ac:dyDescent="0.25">
      <c r="A185" s="77"/>
      <c r="B185" s="77"/>
      <c r="C185" s="77"/>
      <c r="D185" s="77"/>
      <c r="E185" s="77"/>
      <c r="F185" s="77"/>
      <c r="G185" s="77"/>
      <c r="H185" s="77"/>
    </row>
    <row r="186" spans="1:8" ht="15.75" customHeight="1" x14ac:dyDescent="0.25">
      <c r="A186" s="77"/>
      <c r="B186" s="77"/>
      <c r="C186" s="77"/>
      <c r="D186" s="77"/>
      <c r="E186" s="77"/>
      <c r="F186" s="77"/>
      <c r="G186" s="77"/>
      <c r="H186" s="77"/>
    </row>
    <row r="187" spans="1:8" ht="15.75" customHeight="1" x14ac:dyDescent="0.25">
      <c r="A187" s="77"/>
      <c r="B187" s="77"/>
      <c r="C187" s="77"/>
      <c r="D187" s="77"/>
      <c r="E187" s="77"/>
      <c r="F187" s="77"/>
      <c r="G187" s="77"/>
      <c r="H187" s="77"/>
    </row>
    <row r="188" spans="1:8" ht="15.75" customHeight="1" x14ac:dyDescent="0.25">
      <c r="A188" s="77"/>
      <c r="B188" s="77"/>
      <c r="C188" s="77"/>
      <c r="D188" s="77"/>
      <c r="E188" s="77"/>
      <c r="F188" s="77"/>
      <c r="G188" s="77"/>
      <c r="H188" s="77"/>
    </row>
    <row r="189" spans="1:8" ht="15.75" customHeight="1" x14ac:dyDescent="0.25">
      <c r="A189" s="77"/>
      <c r="B189" s="77"/>
      <c r="C189" s="77"/>
      <c r="D189" s="77"/>
      <c r="E189" s="77"/>
      <c r="F189" s="77"/>
      <c r="G189" s="77"/>
      <c r="H189" s="77"/>
    </row>
    <row r="190" spans="1:8" ht="15.75" customHeight="1" x14ac:dyDescent="0.25">
      <c r="A190" s="77"/>
      <c r="B190" s="77"/>
      <c r="C190" s="77"/>
      <c r="D190" s="77"/>
      <c r="E190" s="77"/>
      <c r="F190" s="77"/>
      <c r="G190" s="77"/>
      <c r="H190" s="77"/>
    </row>
    <row r="191" spans="1:8" ht="15.75" customHeight="1" x14ac:dyDescent="0.25">
      <c r="A191" s="77"/>
      <c r="B191" s="77"/>
      <c r="C191" s="77"/>
      <c r="D191" s="77"/>
      <c r="E191" s="77"/>
      <c r="F191" s="77"/>
      <c r="G191" s="77"/>
      <c r="H191" s="77"/>
    </row>
    <row r="192" spans="1:8" ht="15.75" customHeight="1" x14ac:dyDescent="0.25">
      <c r="A192" s="77"/>
      <c r="B192" s="77"/>
      <c r="C192" s="77"/>
      <c r="D192" s="77"/>
      <c r="E192" s="77"/>
      <c r="F192" s="77"/>
      <c r="G192" s="77"/>
      <c r="H192" s="77"/>
    </row>
    <row r="193" spans="1:8" ht="15.75" customHeight="1" x14ac:dyDescent="0.25">
      <c r="A193" s="77"/>
      <c r="B193" s="77"/>
      <c r="C193" s="77"/>
      <c r="D193" s="77"/>
      <c r="E193" s="77"/>
      <c r="F193" s="77"/>
      <c r="G193" s="77"/>
      <c r="H193" s="77"/>
    </row>
    <row r="194" spans="1:8" ht="15.75" customHeight="1" x14ac:dyDescent="0.25">
      <c r="A194" s="77"/>
      <c r="B194" s="77"/>
      <c r="C194" s="77"/>
      <c r="D194" s="77"/>
      <c r="E194" s="77"/>
      <c r="F194" s="77"/>
      <c r="G194" s="77"/>
      <c r="H194" s="77"/>
    </row>
    <row r="195" spans="1:8" ht="15.75" customHeight="1" x14ac:dyDescent="0.25">
      <c r="A195" s="77"/>
      <c r="B195" s="77"/>
      <c r="C195" s="77"/>
      <c r="D195" s="77"/>
      <c r="E195" s="77"/>
      <c r="F195" s="77"/>
      <c r="G195" s="77"/>
      <c r="H195" s="77"/>
    </row>
    <row r="196" spans="1:8" ht="15.75" customHeight="1" x14ac:dyDescent="0.25">
      <c r="A196" s="77"/>
      <c r="B196" s="77"/>
      <c r="C196" s="77"/>
      <c r="D196" s="77"/>
      <c r="E196" s="77"/>
      <c r="F196" s="77"/>
      <c r="G196" s="77"/>
      <c r="H196" s="77"/>
    </row>
    <row r="197" spans="1:8" ht="15.75" customHeight="1" x14ac:dyDescent="0.25">
      <c r="A197" s="77"/>
      <c r="B197" s="77"/>
      <c r="C197" s="77"/>
      <c r="D197" s="77"/>
      <c r="E197" s="77"/>
      <c r="F197" s="77"/>
      <c r="G197" s="77"/>
      <c r="H197" s="77"/>
    </row>
    <row r="198" spans="1:8" ht="15.75" customHeight="1" x14ac:dyDescent="0.25">
      <c r="A198" s="77"/>
      <c r="B198" s="77"/>
      <c r="C198" s="77"/>
      <c r="D198" s="77"/>
      <c r="E198" s="77"/>
      <c r="F198" s="77"/>
      <c r="G198" s="77"/>
      <c r="H198" s="77"/>
    </row>
    <row r="199" spans="1:8" ht="15.75" customHeight="1" x14ac:dyDescent="0.25">
      <c r="A199" s="77"/>
      <c r="B199" s="77"/>
      <c r="C199" s="77"/>
      <c r="D199" s="77"/>
      <c r="E199" s="77"/>
      <c r="F199" s="77"/>
      <c r="G199" s="77"/>
      <c r="H199" s="77"/>
    </row>
    <row r="200" spans="1:8" ht="15.75" customHeight="1" x14ac:dyDescent="0.25">
      <c r="A200" s="77"/>
      <c r="B200" s="77"/>
      <c r="C200" s="77"/>
      <c r="D200" s="77"/>
      <c r="E200" s="77"/>
      <c r="F200" s="77"/>
      <c r="G200" s="77"/>
      <c r="H200" s="77"/>
    </row>
    <row r="201" spans="1:8" ht="15.75" customHeight="1" x14ac:dyDescent="0.25">
      <c r="A201" s="77"/>
      <c r="B201" s="77"/>
      <c r="C201" s="77"/>
      <c r="D201" s="77"/>
      <c r="E201" s="77"/>
      <c r="F201" s="77"/>
      <c r="G201" s="77"/>
      <c r="H201" s="77"/>
    </row>
    <row r="202" spans="1:8" ht="15.75" customHeight="1" x14ac:dyDescent="0.25">
      <c r="A202" s="77"/>
      <c r="B202" s="77"/>
      <c r="C202" s="77"/>
      <c r="D202" s="77"/>
      <c r="E202" s="77"/>
      <c r="F202" s="77"/>
      <c r="G202" s="77"/>
      <c r="H202" s="77"/>
    </row>
    <row r="203" spans="1:8" ht="15.75" customHeight="1" x14ac:dyDescent="0.25">
      <c r="A203" s="77"/>
      <c r="B203" s="77"/>
      <c r="C203" s="77"/>
      <c r="D203" s="77"/>
      <c r="E203" s="77"/>
      <c r="F203" s="77"/>
      <c r="G203" s="77"/>
      <c r="H203" s="77"/>
    </row>
    <row r="204" spans="1:8" ht="15.75" customHeight="1" x14ac:dyDescent="0.25">
      <c r="A204" s="77"/>
      <c r="B204" s="77"/>
      <c r="C204" s="77"/>
      <c r="D204" s="77"/>
      <c r="E204" s="77"/>
      <c r="F204" s="77"/>
      <c r="G204" s="77"/>
      <c r="H204" s="77"/>
    </row>
    <row r="205" spans="1:8" ht="15.75" customHeight="1" x14ac:dyDescent="0.25">
      <c r="A205" s="77"/>
      <c r="B205" s="77"/>
      <c r="C205" s="77"/>
      <c r="D205" s="77"/>
      <c r="E205" s="77"/>
      <c r="F205" s="77"/>
      <c r="G205" s="77"/>
      <c r="H205" s="77"/>
    </row>
    <row r="206" spans="1:8" ht="15.75" customHeight="1" x14ac:dyDescent="0.25">
      <c r="A206" s="77"/>
      <c r="B206" s="77"/>
      <c r="C206" s="77"/>
      <c r="D206" s="77"/>
      <c r="E206" s="77"/>
      <c r="F206" s="77"/>
      <c r="G206" s="77"/>
      <c r="H206" s="77"/>
    </row>
    <row r="207" spans="1:8" ht="15.75" customHeight="1" x14ac:dyDescent="0.25">
      <c r="A207" s="77"/>
      <c r="B207" s="77"/>
      <c r="C207" s="77"/>
      <c r="D207" s="77"/>
      <c r="E207" s="77"/>
      <c r="F207" s="77"/>
      <c r="G207" s="77"/>
      <c r="H207" s="77"/>
    </row>
    <row r="208" spans="1:8" ht="15.75" customHeight="1" x14ac:dyDescent="0.25">
      <c r="A208" s="77"/>
      <c r="B208" s="77"/>
      <c r="C208" s="77"/>
      <c r="D208" s="77"/>
      <c r="E208" s="77"/>
      <c r="F208" s="77"/>
      <c r="G208" s="77"/>
      <c r="H208" s="77"/>
    </row>
    <row r="209" spans="1:8" ht="15.75" customHeight="1" x14ac:dyDescent="0.25">
      <c r="A209" s="77"/>
      <c r="B209" s="77"/>
      <c r="C209" s="77"/>
      <c r="D209" s="77"/>
      <c r="E209" s="77"/>
      <c r="F209" s="77"/>
      <c r="G209" s="77"/>
      <c r="H209" s="77"/>
    </row>
    <row r="210" spans="1:8" ht="15.75" customHeight="1" x14ac:dyDescent="0.25">
      <c r="A210" s="77"/>
      <c r="B210" s="77"/>
      <c r="C210" s="77"/>
      <c r="D210" s="77"/>
      <c r="E210" s="77"/>
      <c r="F210" s="77"/>
      <c r="G210" s="77"/>
      <c r="H210" s="77"/>
    </row>
    <row r="211" spans="1:8" ht="15.75" customHeight="1" x14ac:dyDescent="0.25">
      <c r="A211" s="77"/>
      <c r="B211" s="77"/>
      <c r="C211" s="77"/>
      <c r="D211" s="77"/>
      <c r="E211" s="77"/>
      <c r="F211" s="77"/>
      <c r="G211" s="77"/>
      <c r="H211" s="77"/>
    </row>
    <row r="212" spans="1:8" ht="15.75" customHeight="1" x14ac:dyDescent="0.25">
      <c r="A212" s="77"/>
      <c r="B212" s="77"/>
      <c r="C212" s="77"/>
      <c r="D212" s="77"/>
      <c r="E212" s="77"/>
      <c r="F212" s="77"/>
      <c r="G212" s="77"/>
      <c r="H212" s="77"/>
    </row>
    <row r="213" spans="1:8" ht="15.75" customHeight="1" x14ac:dyDescent="0.25">
      <c r="A213" s="77"/>
      <c r="B213" s="77"/>
      <c r="C213" s="77"/>
      <c r="D213" s="77"/>
      <c r="E213" s="77"/>
      <c r="F213" s="77"/>
      <c r="G213" s="77"/>
      <c r="H213" s="77"/>
    </row>
    <row r="214" spans="1:8" ht="15.75" customHeight="1" x14ac:dyDescent="0.25">
      <c r="A214" s="77"/>
      <c r="B214" s="77"/>
      <c r="C214" s="77"/>
      <c r="D214" s="77"/>
      <c r="E214" s="77"/>
      <c r="F214" s="77"/>
      <c r="G214" s="77"/>
      <c r="H214" s="77"/>
    </row>
    <row r="215" spans="1:8" ht="15.75" customHeight="1" x14ac:dyDescent="0.25">
      <c r="A215" s="77"/>
      <c r="B215" s="77"/>
      <c r="C215" s="77"/>
      <c r="D215" s="77"/>
      <c r="E215" s="77"/>
      <c r="F215" s="77"/>
      <c r="G215" s="77"/>
      <c r="H215" s="77"/>
    </row>
    <row r="216" spans="1:8" ht="15.75" customHeight="1" x14ac:dyDescent="0.25">
      <c r="A216" s="77"/>
      <c r="B216" s="77"/>
      <c r="C216" s="77"/>
      <c r="D216" s="77"/>
      <c r="E216" s="77"/>
      <c r="F216" s="77"/>
      <c r="G216" s="77"/>
      <c r="H216" s="77"/>
    </row>
    <row r="217" spans="1:8" ht="15.75" customHeight="1" x14ac:dyDescent="0.25"/>
    <row r="218" spans="1:8" ht="15.75" customHeight="1" x14ac:dyDescent="0.25"/>
    <row r="219" spans="1:8" ht="15.75" customHeight="1" x14ac:dyDescent="0.25"/>
    <row r="220" spans="1:8" ht="15.75" customHeight="1" x14ac:dyDescent="0.25"/>
    <row r="221" spans="1:8" ht="15.75" customHeight="1" x14ac:dyDescent="0.25"/>
    <row r="222" spans="1:8" ht="15.75" customHeight="1" x14ac:dyDescent="0.25"/>
    <row r="223" spans="1:8" ht="15.75" customHeight="1" x14ac:dyDescent="0.25"/>
    <row r="224" spans="1:8"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C36:D36"/>
    <mergeCell ref="C37:D37"/>
    <mergeCell ref="C38:D38"/>
    <mergeCell ref="A35:B35"/>
    <mergeCell ref="A36:B36"/>
    <mergeCell ref="A37:B37"/>
    <mergeCell ref="A38:B38"/>
    <mergeCell ref="K41:L41"/>
    <mergeCell ref="C32:D32"/>
    <mergeCell ref="C9:D9"/>
    <mergeCell ref="C19:D19"/>
    <mergeCell ref="C20:D20"/>
    <mergeCell ref="L20:M20"/>
    <mergeCell ref="C10:D10"/>
    <mergeCell ref="C11:D11"/>
    <mergeCell ref="A14:D14"/>
    <mergeCell ref="C15:D15"/>
    <mergeCell ref="C16:D16"/>
    <mergeCell ref="C17:D17"/>
    <mergeCell ref="C18:D18"/>
    <mergeCell ref="K30:M30"/>
    <mergeCell ref="K27:K28"/>
    <mergeCell ref="C35:D35"/>
    <mergeCell ref="A2:D3"/>
    <mergeCell ref="G2:I3"/>
    <mergeCell ref="K2:M3"/>
    <mergeCell ref="O2:S3"/>
    <mergeCell ref="G5:I5"/>
    <mergeCell ref="L5:M5"/>
    <mergeCell ref="A5:D5"/>
    <mergeCell ref="O17:S22"/>
    <mergeCell ref="O25:S31"/>
    <mergeCell ref="O9:R9"/>
    <mergeCell ref="L12:M12"/>
    <mergeCell ref="O12:S13"/>
    <mergeCell ref="L25:M25"/>
    <mergeCell ref="L27:L28"/>
    <mergeCell ref="M27:M28"/>
    <mergeCell ref="O11:R11"/>
    <mergeCell ref="K31:M40"/>
    <mergeCell ref="C6:D6"/>
    <mergeCell ref="C7:D7"/>
    <mergeCell ref="C8:D8"/>
    <mergeCell ref="C25:D25"/>
    <mergeCell ref="A24:D24"/>
    <mergeCell ref="AA2:AE3"/>
    <mergeCell ref="U2:Y3"/>
    <mergeCell ref="U5:Y5"/>
    <mergeCell ref="U6:Y14"/>
    <mergeCell ref="U17:Y22"/>
    <mergeCell ref="U16:Y16"/>
    <mergeCell ref="AA5:AE22"/>
  </mergeCells>
  <hyperlinks>
    <hyperlink ref="C20" r:id="rId1" xr:uid="{00000000-0004-0000-0000-000000000000}"/>
    <hyperlink ref="I10" r:id="rId2" xr:uid="{05C6DC23-D2C5-4B49-A63B-02D0CA742094}"/>
  </hyperlinks>
  <pageMargins left="0.7" right="0.7" top="0.75" bottom="0.75" header="0" footer="0"/>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PDFProposal">
                <anchor moveWithCells="1" sizeWithCells="1">
                  <from>
                    <xdr:col>5</xdr:col>
                    <xdr:colOff>601980</xdr:colOff>
                    <xdr:row>15</xdr:row>
                    <xdr:rowOff>7620</xdr:rowOff>
                  </from>
                  <to>
                    <xdr:col>9</xdr:col>
                    <xdr:colOff>7620</xdr:colOff>
                    <xdr:row>19</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
        <x14:dataValidation type="list" allowBlank="1" showErrorMessage="1" xr:uid="{00000000-0002-0000-0000-000000000000}">
          <x14:formula1>
            <xm:f>'Variable Page '!$K$16:$K$18</xm:f>
          </x14:formula1>
          <xm:sqref>M16</xm:sqref>
        </x14:dataValidation>
        <x14:dataValidation type="list" allowBlank="1" showErrorMessage="1" xr:uid="{00000000-0002-0000-0000-000001000000}">
          <x14:formula1>
            <xm:f>'Variable Page '!$K$3:$K$7</xm:f>
          </x14:formula1>
          <xm:sqref>M8</xm:sqref>
        </x14:dataValidation>
        <x14:dataValidation type="list" allowBlank="1" showErrorMessage="1" xr:uid="{00000000-0002-0000-0000-000002000000}">
          <x14:formula1>
            <xm:f>'Variable Page '!$K$11:$K$12</xm:f>
          </x14:formula1>
          <xm:sqref>M15</xm:sqref>
        </x14:dataValidation>
        <x14:dataValidation type="list" allowBlank="1" showErrorMessage="1" xr:uid="{00000000-0002-0000-0000-000003000000}">
          <x14:formula1>
            <xm:f>'Variable Page '!$K$22:$K$28</xm:f>
          </x14:formula1>
          <xm:sqref>M26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AT1000"/>
  <sheetViews>
    <sheetView zoomScale="85" zoomScaleNormal="85" workbookViewId="0">
      <selection activeCell="G34" sqref="A4:G34"/>
    </sheetView>
  </sheetViews>
  <sheetFormatPr defaultColWidth="14.44140625" defaultRowHeight="15" customHeight="1" x14ac:dyDescent="0.3"/>
  <cols>
    <col min="1" max="1" width="6.109375" bestFit="1" customWidth="1"/>
    <col min="2" max="2" width="11.109375" customWidth="1"/>
    <col min="3" max="3" width="12.33203125" bestFit="1" customWidth="1"/>
    <col min="4" max="4" width="14.109375" bestFit="1" customWidth="1"/>
    <col min="5" max="5" width="15.109375" bestFit="1" customWidth="1"/>
    <col min="6" max="6" width="12.6640625" bestFit="1" customWidth="1"/>
    <col min="7" max="7" width="13.88671875" bestFit="1" customWidth="1"/>
    <col min="8" max="8" width="9.109375" customWidth="1"/>
    <col min="9" max="9" width="18.109375" customWidth="1"/>
    <col min="10" max="10" width="9.109375" customWidth="1"/>
    <col min="11" max="11" width="24.88671875" customWidth="1"/>
    <col min="12" max="12" width="14.5546875" customWidth="1"/>
    <col min="13" max="14" width="9.109375" customWidth="1"/>
    <col min="15" max="15" width="10" customWidth="1"/>
    <col min="16" max="16" width="12.44140625" customWidth="1"/>
    <col min="17" max="17" width="13.44140625" customWidth="1"/>
    <col min="18" max="23" width="9.109375" customWidth="1"/>
    <col min="24" max="24" width="14.44140625" customWidth="1"/>
    <col min="25" max="25" width="18.44140625" customWidth="1"/>
    <col min="26" max="26" width="14.5546875" customWidth="1"/>
    <col min="27" max="28" width="9.109375" customWidth="1"/>
    <col min="29" max="29" width="10.88671875" customWidth="1"/>
    <col min="30" max="30" width="9.109375" customWidth="1"/>
    <col min="31" max="31" width="14.88671875" customWidth="1"/>
    <col min="32" max="32" width="9" customWidth="1"/>
    <col min="33" max="33" width="12.109375" customWidth="1"/>
    <col min="34" max="34" width="5.109375" customWidth="1"/>
    <col min="35" max="35" width="9.109375" customWidth="1"/>
    <col min="36" max="36" width="9.44140625" customWidth="1"/>
    <col min="37" max="37" width="14.88671875" customWidth="1"/>
    <col min="38" max="41" width="9.109375" customWidth="1"/>
    <col min="42" max="42" width="10.109375" customWidth="1"/>
    <col min="43" max="44" width="14.88671875" customWidth="1"/>
    <col min="45" max="45" width="14.6640625" customWidth="1"/>
    <col min="46" max="46" width="15" customWidth="1"/>
  </cols>
  <sheetData>
    <row r="1" spans="1:46" ht="14.4" x14ac:dyDescent="0.3">
      <c r="A1" s="132" t="s">
        <v>75</v>
      </c>
      <c r="B1" s="133"/>
      <c r="C1" s="133"/>
      <c r="D1" s="133"/>
      <c r="E1" s="133"/>
      <c r="F1" s="133"/>
      <c r="G1" s="133"/>
      <c r="H1" s="1"/>
      <c r="I1" s="1"/>
      <c r="J1" s="1"/>
      <c r="K1" s="1"/>
      <c r="L1" s="1"/>
      <c r="M1" s="1"/>
      <c r="N1" s="1"/>
      <c r="O1" s="132" t="s">
        <v>76</v>
      </c>
      <c r="P1" s="133"/>
      <c r="Q1" s="133"/>
      <c r="R1" s="133"/>
      <c r="S1" s="133"/>
      <c r="T1" s="133"/>
      <c r="U1" s="133"/>
      <c r="V1" s="1"/>
      <c r="W1" s="132" t="s">
        <v>77</v>
      </c>
      <c r="X1" s="133"/>
      <c r="Y1" s="133"/>
      <c r="Z1" s="133"/>
      <c r="AA1" s="1"/>
      <c r="AB1" s="1"/>
      <c r="AC1" s="1" t="s">
        <v>78</v>
      </c>
      <c r="AD1" s="1"/>
      <c r="AE1" s="1"/>
      <c r="AF1" s="1"/>
      <c r="AG1" s="1"/>
      <c r="AH1" s="1"/>
      <c r="AI1" s="1"/>
      <c r="AJ1" s="1"/>
      <c r="AK1" s="1"/>
      <c r="AL1" s="1"/>
      <c r="AM1" s="1"/>
      <c r="AN1" s="1"/>
      <c r="AO1" s="1"/>
      <c r="AP1" s="1"/>
      <c r="AQ1" s="1"/>
      <c r="AR1" s="1"/>
      <c r="AS1" s="1"/>
      <c r="AT1" s="1"/>
    </row>
    <row r="2" spans="1:46" ht="14.4" x14ac:dyDescent="0.3">
      <c r="A2" s="133"/>
      <c r="B2" s="133"/>
      <c r="C2" s="133"/>
      <c r="D2" s="133"/>
      <c r="E2" s="133"/>
      <c r="F2" s="133"/>
      <c r="G2" s="133"/>
      <c r="H2" s="1"/>
      <c r="I2" s="1"/>
      <c r="J2" s="1"/>
      <c r="K2" s="1"/>
      <c r="L2" s="1"/>
      <c r="M2" s="1"/>
      <c r="N2" s="1"/>
      <c r="O2" s="133"/>
      <c r="P2" s="133"/>
      <c r="Q2" s="133"/>
      <c r="R2" s="133"/>
      <c r="S2" s="133"/>
      <c r="T2" s="133"/>
      <c r="U2" s="133"/>
      <c r="V2" s="1"/>
      <c r="W2" s="133"/>
      <c r="X2" s="133"/>
      <c r="Y2" s="133"/>
      <c r="Z2" s="133"/>
      <c r="AA2" s="1"/>
      <c r="AB2" s="1"/>
      <c r="AC2" s="1"/>
      <c r="AD2" s="1"/>
      <c r="AE2" s="1"/>
      <c r="AF2" s="1"/>
      <c r="AG2" s="1"/>
      <c r="AH2" s="1"/>
      <c r="AI2" s="1"/>
      <c r="AJ2" s="1"/>
      <c r="AK2" s="1"/>
      <c r="AL2" s="1"/>
      <c r="AM2" s="1"/>
      <c r="AN2" s="1"/>
      <c r="AO2" s="1"/>
      <c r="AP2" s="1"/>
      <c r="AQ2" s="1"/>
      <c r="AR2" s="1"/>
      <c r="AS2" s="1"/>
      <c r="AT2" s="1"/>
    </row>
    <row r="3" spans="1:46" ht="14.4" x14ac:dyDescent="0.3">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row>
    <row r="4" spans="1:46" ht="26.4" x14ac:dyDescent="0.3">
      <c r="A4" s="82" t="s">
        <v>79</v>
      </c>
      <c r="B4" s="82" t="s">
        <v>80</v>
      </c>
      <c r="C4" s="82" t="s">
        <v>81</v>
      </c>
      <c r="D4" s="82" t="s">
        <v>82</v>
      </c>
      <c r="E4" s="82" t="s">
        <v>83</v>
      </c>
      <c r="F4" s="82" t="s">
        <v>84</v>
      </c>
      <c r="G4" s="82" t="s">
        <v>85</v>
      </c>
      <c r="H4" s="1"/>
      <c r="I4" s="1"/>
      <c r="J4" s="1"/>
      <c r="K4" s="5" t="s">
        <v>86</v>
      </c>
      <c r="L4" s="5" t="s">
        <v>87</v>
      </c>
      <c r="M4" s="1"/>
      <c r="N4" s="1"/>
      <c r="O4" s="49" t="s">
        <v>88</v>
      </c>
      <c r="P4" s="50" t="s">
        <v>89</v>
      </c>
      <c r="Q4" s="50" t="s">
        <v>90</v>
      </c>
      <c r="R4" s="1"/>
      <c r="S4" s="1"/>
      <c r="T4" s="1"/>
      <c r="U4" s="1"/>
      <c r="V4" s="1"/>
      <c r="W4" s="42" t="s">
        <v>79</v>
      </c>
      <c r="X4" s="43" t="s">
        <v>91</v>
      </c>
      <c r="Y4" s="43" t="s">
        <v>92</v>
      </c>
      <c r="Z4" s="43" t="s">
        <v>93</v>
      </c>
      <c r="AA4" s="1"/>
      <c r="AB4" s="1"/>
      <c r="AC4" s="1"/>
      <c r="AD4" s="1"/>
      <c r="AE4" s="1"/>
      <c r="AF4" s="1"/>
      <c r="AG4" s="1"/>
      <c r="AH4" s="1"/>
      <c r="AI4" s="1"/>
      <c r="AJ4" s="1"/>
      <c r="AK4" s="1"/>
      <c r="AL4" s="1"/>
      <c r="AM4" s="1"/>
      <c r="AN4" s="1"/>
      <c r="AO4" s="1"/>
      <c r="AP4" s="1"/>
      <c r="AQ4" s="1"/>
      <c r="AR4" s="1"/>
      <c r="AS4" s="1"/>
      <c r="AT4" s="1"/>
    </row>
    <row r="5" spans="1:46" ht="15.6" x14ac:dyDescent="0.3">
      <c r="A5" s="38">
        <v>1</v>
      </c>
      <c r="B5" s="39">
        <f>'Input Page'!D31</f>
        <v>11</v>
      </c>
      <c r="C5" s="41">
        <f>'Input Page'!D30</f>
        <v>25000</v>
      </c>
      <c r="D5" s="40">
        <f t="shared" ref="D5:D34" si="0">C5*B5</f>
        <v>275000</v>
      </c>
      <c r="E5" s="41">
        <f>'Input Page'!D29</f>
        <v>7200</v>
      </c>
      <c r="F5" s="40">
        <f t="shared" ref="F5:F34" si="1">E5*B5</f>
        <v>79200</v>
      </c>
      <c r="G5" s="40">
        <f t="shared" ref="G5:G34" si="2">D5-F5</f>
        <v>195800</v>
      </c>
      <c r="H5" s="1"/>
      <c r="I5" s="1"/>
      <c r="J5" s="1"/>
      <c r="K5" s="2" t="s">
        <v>94</v>
      </c>
      <c r="L5" s="6">
        <f>'Input Page'!C36</f>
        <v>1.4999999999999999E-2</v>
      </c>
      <c r="M5" s="1"/>
      <c r="N5" s="1"/>
      <c r="O5" s="46" t="s">
        <v>95</v>
      </c>
      <c r="P5" s="47">
        <f t="shared" ref="P5:P16" si="3">$E$5*L15</f>
        <v>648</v>
      </c>
      <c r="Q5" s="48">
        <f t="shared" ref="Q5:Q16" si="4">P5*$L$32</f>
        <v>7128</v>
      </c>
      <c r="R5" s="1"/>
      <c r="S5" s="1"/>
      <c r="T5" s="1"/>
      <c r="U5" s="1"/>
      <c r="V5" s="1"/>
      <c r="W5" s="7">
        <v>1</v>
      </c>
      <c r="X5" s="8">
        <f>'Input Page'!S9*40%</f>
        <v>165217.32</v>
      </c>
      <c r="Y5" s="8">
        <f t="shared" ref="Y5:Y7" si="5">X5*30%</f>
        <v>49565.196000000004</v>
      </c>
      <c r="Z5" s="8">
        <f>'Input Page'!S9-'Savings &amp; Graph'!X5</f>
        <v>247825.97999999998</v>
      </c>
      <c r="AA5" s="1"/>
      <c r="AB5" s="1"/>
      <c r="AC5" s="134" t="s">
        <v>96</v>
      </c>
      <c r="AD5" s="135"/>
      <c r="AE5" s="9">
        <f>'Input Page'!S9</f>
        <v>413043.3</v>
      </c>
      <c r="AF5" s="4"/>
      <c r="AG5" s="4"/>
      <c r="AH5" s="4"/>
      <c r="AI5" s="134" t="s">
        <v>97</v>
      </c>
      <c r="AJ5" s="135"/>
      <c r="AK5" s="9" t="e">
        <f>AE5-(AE5*'Input Page'!#REF!)</f>
        <v>#REF!</v>
      </c>
      <c r="AL5" s="1"/>
      <c r="AM5" s="1"/>
      <c r="AN5" s="1"/>
      <c r="AO5" s="1" t="s">
        <v>98</v>
      </c>
      <c r="AP5" s="1" t="s">
        <v>99</v>
      </c>
      <c r="AQ5" s="1" t="s">
        <v>100</v>
      </c>
      <c r="AR5" s="1" t="s">
        <v>101</v>
      </c>
      <c r="AS5" s="1" t="s">
        <v>64</v>
      </c>
      <c r="AT5" s="1" t="s">
        <v>102</v>
      </c>
    </row>
    <row r="6" spans="1:46" ht="15.6" x14ac:dyDescent="0.3">
      <c r="A6" s="34">
        <v>2</v>
      </c>
      <c r="B6" s="35">
        <f t="shared" ref="B6:B34" si="6">B5+(B5*$L$5)</f>
        <v>11.164999999999999</v>
      </c>
      <c r="C6" s="37">
        <f t="shared" ref="C6:C34" si="7">C5+(C5*$L$6)</f>
        <v>25250</v>
      </c>
      <c r="D6" s="36">
        <f t="shared" si="0"/>
        <v>281916.25</v>
      </c>
      <c r="E6" s="37">
        <f t="shared" ref="E6:E34" si="8">E5-(E5*$L$7)</f>
        <v>7164</v>
      </c>
      <c r="F6" s="36">
        <f t="shared" si="1"/>
        <v>79986.06</v>
      </c>
      <c r="G6" s="36">
        <f t="shared" si="2"/>
        <v>201930.19</v>
      </c>
      <c r="H6" s="1"/>
      <c r="I6" s="1"/>
      <c r="J6" s="1"/>
      <c r="K6" s="2" t="s">
        <v>103</v>
      </c>
      <c r="L6" s="6">
        <f>'Input Page'!C37</f>
        <v>0.01</v>
      </c>
      <c r="M6" s="1"/>
      <c r="N6" s="1"/>
      <c r="O6" s="2" t="s">
        <v>104</v>
      </c>
      <c r="P6" s="44">
        <f t="shared" si="3"/>
        <v>648</v>
      </c>
      <c r="Q6" s="45">
        <f t="shared" si="4"/>
        <v>7128</v>
      </c>
      <c r="R6" s="1"/>
      <c r="S6" s="1"/>
      <c r="T6" s="1"/>
      <c r="U6" s="1"/>
      <c r="V6" s="1"/>
      <c r="W6" s="2">
        <v>2</v>
      </c>
      <c r="X6" s="10">
        <f>Z5*40%</f>
        <v>99130.391999999993</v>
      </c>
      <c r="Y6" s="10">
        <f t="shared" si="5"/>
        <v>29739.117599999998</v>
      </c>
      <c r="Z6" s="10">
        <f t="shared" ref="Z6:Z7" si="9">Z5-X6</f>
        <v>148695.58799999999</v>
      </c>
      <c r="AA6" s="1"/>
      <c r="AB6" s="1"/>
      <c r="AC6" s="4"/>
      <c r="AD6" s="4"/>
      <c r="AE6" s="4"/>
      <c r="AF6" s="4"/>
      <c r="AG6" s="4"/>
      <c r="AH6" s="4"/>
      <c r="AI6" s="4"/>
      <c r="AJ6" s="4"/>
      <c r="AK6" s="4"/>
      <c r="AL6" s="1"/>
      <c r="AM6" s="1"/>
      <c r="AN6" s="1"/>
      <c r="AO6" s="1">
        <v>12</v>
      </c>
      <c r="AP6" s="11" t="e">
        <f>'Input Page'!#REF!</f>
        <v>#REF!</v>
      </c>
      <c r="AQ6" s="12" t="e">
        <f>$AK$5*AP6*1</f>
        <v>#REF!</v>
      </c>
      <c r="AR6" s="12" t="e">
        <f t="shared" ref="AR6:AR10" si="10">$AK$5</f>
        <v>#REF!</v>
      </c>
      <c r="AS6" s="12" t="e">
        <f t="shared" ref="AS6:AS10" si="11">AR6+AQ6</f>
        <v>#REF!</v>
      </c>
      <c r="AT6" s="12" t="e">
        <f t="shared" ref="AT6:AT10" si="12">AS6/AO6</f>
        <v>#REF!</v>
      </c>
    </row>
    <row r="7" spans="1:46" ht="15.6" x14ac:dyDescent="0.3">
      <c r="A7" s="38">
        <v>3</v>
      </c>
      <c r="B7" s="39">
        <f t="shared" si="6"/>
        <v>11.332474999999999</v>
      </c>
      <c r="C7" s="41">
        <f t="shared" si="7"/>
        <v>25502.5</v>
      </c>
      <c r="D7" s="40">
        <f t="shared" si="0"/>
        <v>289006.44368749997</v>
      </c>
      <c r="E7" s="41">
        <f t="shared" si="8"/>
        <v>7128.18</v>
      </c>
      <c r="F7" s="40">
        <f t="shared" si="1"/>
        <v>80779.921645499999</v>
      </c>
      <c r="G7" s="40">
        <f t="shared" si="2"/>
        <v>208226.52204199997</v>
      </c>
      <c r="H7" s="1"/>
      <c r="I7" s="1"/>
      <c r="J7" s="1"/>
      <c r="K7" s="2" t="s">
        <v>105</v>
      </c>
      <c r="L7" s="6">
        <f>'Input Page'!C38</f>
        <v>5.0000000000000001E-3</v>
      </c>
      <c r="M7" s="1"/>
      <c r="N7" s="1"/>
      <c r="O7" s="46" t="s">
        <v>106</v>
      </c>
      <c r="P7" s="47">
        <f t="shared" si="3"/>
        <v>720</v>
      </c>
      <c r="Q7" s="48">
        <f t="shared" si="4"/>
        <v>7920</v>
      </c>
      <c r="R7" s="1"/>
      <c r="S7" s="1"/>
      <c r="T7" s="1"/>
      <c r="U7" s="1"/>
      <c r="V7" s="1"/>
      <c r="W7" s="7">
        <v>3</v>
      </c>
      <c r="X7" s="8">
        <f>Z6*20%</f>
        <v>29739.117599999998</v>
      </c>
      <c r="Y7" s="8">
        <f t="shared" si="5"/>
        <v>8921.735279999999</v>
      </c>
      <c r="Z7" s="8">
        <f t="shared" si="9"/>
        <v>118956.47039999999</v>
      </c>
      <c r="AA7" s="1"/>
      <c r="AB7" s="1"/>
      <c r="AC7" s="4"/>
      <c r="AD7" s="4"/>
      <c r="AE7" s="136" t="s">
        <v>107</v>
      </c>
      <c r="AF7" s="137"/>
      <c r="AG7" s="137"/>
      <c r="AH7" s="137"/>
      <c r="AI7" s="138"/>
      <c r="AJ7" s="4"/>
      <c r="AK7" s="4"/>
      <c r="AL7" s="1"/>
      <c r="AM7" s="1"/>
      <c r="AN7" s="1"/>
      <c r="AO7" s="1">
        <v>24</v>
      </c>
      <c r="AP7" s="11" t="e">
        <f>'Input Page'!#REF!</f>
        <v>#REF!</v>
      </c>
      <c r="AQ7" s="12" t="e">
        <f>$AK$5*AP7*2</f>
        <v>#REF!</v>
      </c>
      <c r="AR7" s="12" t="e">
        <f t="shared" si="10"/>
        <v>#REF!</v>
      </c>
      <c r="AS7" s="12" t="e">
        <f t="shared" si="11"/>
        <v>#REF!</v>
      </c>
      <c r="AT7" s="12" t="e">
        <f t="shared" si="12"/>
        <v>#REF!</v>
      </c>
    </row>
    <row r="8" spans="1:46" ht="15.6" x14ac:dyDescent="0.3">
      <c r="A8" s="34">
        <v>4</v>
      </c>
      <c r="B8" s="35">
        <f t="shared" si="6"/>
        <v>11.502462124999999</v>
      </c>
      <c r="C8" s="37">
        <f t="shared" si="7"/>
        <v>25757.525000000001</v>
      </c>
      <c r="D8" s="36">
        <f t="shared" si="0"/>
        <v>296274.95574624062</v>
      </c>
      <c r="E8" s="37">
        <f t="shared" si="8"/>
        <v>7092.5391</v>
      </c>
      <c r="F8" s="36">
        <f t="shared" si="1"/>
        <v>81581.662367831581</v>
      </c>
      <c r="G8" s="36">
        <f t="shared" si="2"/>
        <v>214693.29337840906</v>
      </c>
      <c r="H8" s="1"/>
      <c r="I8" s="1"/>
      <c r="J8" s="1"/>
      <c r="K8" s="1"/>
      <c r="L8" s="1"/>
      <c r="M8" s="1"/>
      <c r="N8" s="1"/>
      <c r="O8" s="2" t="s">
        <v>108</v>
      </c>
      <c r="P8" s="44">
        <f t="shared" si="3"/>
        <v>720</v>
      </c>
      <c r="Q8" s="45">
        <f t="shared" si="4"/>
        <v>7920</v>
      </c>
      <c r="R8" s="1"/>
      <c r="S8" s="1"/>
      <c r="T8" s="1"/>
      <c r="U8" s="1"/>
      <c r="V8" s="1"/>
      <c r="W8" s="142" t="s">
        <v>64</v>
      </c>
      <c r="X8" s="143"/>
      <c r="Y8" s="33">
        <f>SUM(Y5:Y7)</f>
        <v>88226.048879999988</v>
      </c>
      <c r="Z8" s="1"/>
      <c r="AA8" s="1"/>
      <c r="AB8" s="1"/>
      <c r="AC8" s="4"/>
      <c r="AD8" s="4"/>
      <c r="AE8" s="139"/>
      <c r="AF8" s="140"/>
      <c r="AG8" s="140"/>
      <c r="AH8" s="140"/>
      <c r="AI8" s="141"/>
      <c r="AJ8" s="4"/>
      <c r="AK8" s="4"/>
      <c r="AL8" s="1"/>
      <c r="AM8" s="1"/>
      <c r="AN8" s="1"/>
      <c r="AO8" s="1">
        <v>36</v>
      </c>
      <c r="AP8" s="11" t="e">
        <f>'Input Page'!#REF!</f>
        <v>#REF!</v>
      </c>
      <c r="AQ8" s="12" t="e">
        <f>$AK$5*AP8*3</f>
        <v>#REF!</v>
      </c>
      <c r="AR8" s="12" t="e">
        <f t="shared" si="10"/>
        <v>#REF!</v>
      </c>
      <c r="AS8" s="12" t="e">
        <f t="shared" si="11"/>
        <v>#REF!</v>
      </c>
      <c r="AT8" s="12" t="e">
        <f t="shared" si="12"/>
        <v>#REF!</v>
      </c>
    </row>
    <row r="9" spans="1:46" ht="17.25" customHeight="1" x14ac:dyDescent="0.3">
      <c r="A9" s="38">
        <v>5</v>
      </c>
      <c r="B9" s="39">
        <f t="shared" si="6"/>
        <v>11.674999056874999</v>
      </c>
      <c r="C9" s="41">
        <f t="shared" si="7"/>
        <v>26015.100250000003</v>
      </c>
      <c r="D9" s="40">
        <f t="shared" si="0"/>
        <v>303726.27088325855</v>
      </c>
      <c r="E9" s="41">
        <f t="shared" si="8"/>
        <v>7057.0764044999996</v>
      </c>
      <c r="F9" s="40">
        <f t="shared" si="1"/>
        <v>82391.360366832305</v>
      </c>
      <c r="G9" s="40">
        <f t="shared" si="2"/>
        <v>221334.91051642626</v>
      </c>
      <c r="H9" s="1"/>
      <c r="I9" s="1"/>
      <c r="J9" s="1"/>
      <c r="K9" s="1"/>
      <c r="L9" s="1"/>
      <c r="M9" s="1"/>
      <c r="N9" s="1"/>
      <c r="O9" s="46" t="s">
        <v>109</v>
      </c>
      <c r="P9" s="47">
        <f t="shared" si="3"/>
        <v>720</v>
      </c>
      <c r="Q9" s="48">
        <f t="shared" si="4"/>
        <v>7920</v>
      </c>
      <c r="R9" s="1"/>
      <c r="S9" s="1"/>
      <c r="T9" s="1"/>
      <c r="U9" s="1"/>
      <c r="V9" s="1"/>
      <c r="W9" s="1"/>
      <c r="X9" s="1"/>
      <c r="Y9" s="1"/>
      <c r="Z9" s="1"/>
      <c r="AA9" s="1"/>
      <c r="AB9" s="1"/>
      <c r="AC9" s="4"/>
      <c r="AD9" s="4"/>
      <c r="AE9" s="13"/>
      <c r="AF9" s="13"/>
      <c r="AG9" s="13"/>
      <c r="AH9" s="13"/>
      <c r="AI9" s="13"/>
      <c r="AJ9" s="4"/>
      <c r="AK9" s="4"/>
      <c r="AL9" s="1"/>
      <c r="AM9" s="1"/>
      <c r="AN9" s="1"/>
      <c r="AO9" s="1">
        <v>48</v>
      </c>
      <c r="AP9" s="11" t="e">
        <f>'Input Page'!#REF!</f>
        <v>#REF!</v>
      </c>
      <c r="AQ9" s="12" t="e">
        <f>$AK$5*AP9*4</f>
        <v>#REF!</v>
      </c>
      <c r="AR9" s="12" t="e">
        <f t="shared" si="10"/>
        <v>#REF!</v>
      </c>
      <c r="AS9" s="12" t="e">
        <f t="shared" si="11"/>
        <v>#REF!</v>
      </c>
      <c r="AT9" s="12" t="e">
        <f t="shared" si="12"/>
        <v>#REF!</v>
      </c>
    </row>
    <row r="10" spans="1:46" ht="15.6" x14ac:dyDescent="0.3">
      <c r="A10" s="34">
        <v>6</v>
      </c>
      <c r="B10" s="35">
        <f t="shared" si="6"/>
        <v>11.850124042728124</v>
      </c>
      <c r="C10" s="37">
        <f t="shared" si="7"/>
        <v>26275.251252500002</v>
      </c>
      <c r="D10" s="36">
        <f t="shared" si="0"/>
        <v>311364.98659597256</v>
      </c>
      <c r="E10" s="37">
        <f t="shared" si="8"/>
        <v>7021.7910224774996</v>
      </c>
      <c r="F10" s="36">
        <f t="shared" si="1"/>
        <v>83209.094618473115</v>
      </c>
      <c r="G10" s="36">
        <f t="shared" si="2"/>
        <v>228155.89197749944</v>
      </c>
      <c r="H10" s="1"/>
      <c r="I10" s="1"/>
      <c r="J10" s="1"/>
      <c r="K10" s="1"/>
      <c r="L10" s="1"/>
      <c r="M10" s="1"/>
      <c r="N10" s="1"/>
      <c r="O10" s="2" t="s">
        <v>110</v>
      </c>
      <c r="P10" s="44">
        <f t="shared" si="3"/>
        <v>540</v>
      </c>
      <c r="Q10" s="45">
        <f t="shared" si="4"/>
        <v>5940</v>
      </c>
      <c r="R10" s="1"/>
      <c r="S10" s="1"/>
      <c r="T10" s="1"/>
      <c r="U10" s="1"/>
      <c r="V10" s="1"/>
      <c r="W10" s="1"/>
      <c r="X10" s="1"/>
      <c r="Y10" s="1"/>
      <c r="Z10" s="1"/>
      <c r="AA10" s="1"/>
      <c r="AB10" s="1"/>
      <c r="AC10" s="4"/>
      <c r="AD10" s="4"/>
      <c r="AE10" s="4"/>
      <c r="AF10" s="4"/>
      <c r="AG10" s="4"/>
      <c r="AH10" s="4"/>
      <c r="AI10" s="4"/>
      <c r="AJ10" s="4"/>
      <c r="AK10" s="4"/>
      <c r="AL10" s="1"/>
      <c r="AM10" s="1"/>
      <c r="AN10" s="1"/>
      <c r="AO10" s="1">
        <v>60</v>
      </c>
      <c r="AP10" s="11" t="e">
        <f>'Input Page'!#REF!</f>
        <v>#REF!</v>
      </c>
      <c r="AQ10" s="12" t="e">
        <f>$AK$5*AP10*5</f>
        <v>#REF!</v>
      </c>
      <c r="AR10" s="12" t="e">
        <f t="shared" si="10"/>
        <v>#REF!</v>
      </c>
      <c r="AS10" s="12" t="e">
        <f t="shared" si="11"/>
        <v>#REF!</v>
      </c>
      <c r="AT10" s="12" t="e">
        <f t="shared" si="12"/>
        <v>#REF!</v>
      </c>
    </row>
    <row r="11" spans="1:46" ht="15.6" x14ac:dyDescent="0.3">
      <c r="A11" s="38">
        <v>7</v>
      </c>
      <c r="B11" s="39">
        <f t="shared" si="6"/>
        <v>12.027875903369047</v>
      </c>
      <c r="C11" s="41">
        <f t="shared" si="7"/>
        <v>26538.003765025001</v>
      </c>
      <c r="D11" s="40">
        <f t="shared" si="0"/>
        <v>319195.81600886123</v>
      </c>
      <c r="E11" s="41">
        <f t="shared" si="8"/>
        <v>6986.6820673651118</v>
      </c>
      <c r="F11" s="40">
        <f t="shared" si="1"/>
        <v>84034.944882561467</v>
      </c>
      <c r="G11" s="40">
        <f t="shared" si="2"/>
        <v>235160.87112629978</v>
      </c>
      <c r="H11" s="1"/>
      <c r="I11" s="1"/>
      <c r="J11" s="1"/>
      <c r="K11" s="1"/>
      <c r="L11" s="1"/>
      <c r="M11" s="1"/>
      <c r="N11" s="1"/>
      <c r="O11" s="46" t="s">
        <v>111</v>
      </c>
      <c r="P11" s="47">
        <f t="shared" si="3"/>
        <v>468</v>
      </c>
      <c r="Q11" s="48">
        <f t="shared" si="4"/>
        <v>5148</v>
      </c>
      <c r="R11" s="1"/>
      <c r="S11" s="1"/>
      <c r="T11" s="1"/>
      <c r="U11" s="1"/>
      <c r="V11" s="1"/>
      <c r="W11" s="1"/>
      <c r="X11" s="1"/>
      <c r="Y11" s="1"/>
      <c r="Z11" s="1"/>
      <c r="AA11" s="1"/>
      <c r="AB11" s="1"/>
      <c r="AC11" s="144" t="s">
        <v>112</v>
      </c>
      <c r="AD11" s="135"/>
      <c r="AE11" s="14"/>
      <c r="AF11" s="144" t="s">
        <v>113</v>
      </c>
      <c r="AG11" s="135"/>
      <c r="AH11" s="14"/>
      <c r="AI11" s="4"/>
      <c r="AJ11" s="144" t="s">
        <v>114</v>
      </c>
      <c r="AK11" s="135"/>
      <c r="AL11" s="1"/>
      <c r="AM11" s="1"/>
      <c r="AN11" s="1"/>
      <c r="AO11" s="1"/>
      <c r="AP11" s="1"/>
      <c r="AQ11" s="1"/>
      <c r="AR11" s="1"/>
      <c r="AS11" s="1"/>
      <c r="AT11" s="1"/>
    </row>
    <row r="12" spans="1:46" ht="15.6" x14ac:dyDescent="0.3">
      <c r="A12" s="34">
        <v>8</v>
      </c>
      <c r="B12" s="35">
        <f t="shared" si="6"/>
        <v>12.208294041919583</v>
      </c>
      <c r="C12" s="37">
        <f t="shared" si="7"/>
        <v>26803.383802675253</v>
      </c>
      <c r="D12" s="36">
        <f t="shared" si="0"/>
        <v>327223.59078148415</v>
      </c>
      <c r="E12" s="37">
        <f t="shared" si="8"/>
        <v>6951.7486570282863</v>
      </c>
      <c r="F12" s="36">
        <f t="shared" si="1"/>
        <v>84868.991710520888</v>
      </c>
      <c r="G12" s="36">
        <f t="shared" si="2"/>
        <v>242354.59907096328</v>
      </c>
      <c r="H12" s="1"/>
      <c r="I12" s="1"/>
      <c r="J12" s="1"/>
      <c r="K12" s="1"/>
      <c r="L12" s="1"/>
      <c r="M12" s="1"/>
      <c r="N12" s="1"/>
      <c r="O12" s="2" t="s">
        <v>115</v>
      </c>
      <c r="P12" s="44">
        <f t="shared" si="3"/>
        <v>468</v>
      </c>
      <c r="Q12" s="45">
        <f t="shared" si="4"/>
        <v>5148</v>
      </c>
      <c r="R12" s="1"/>
      <c r="S12" s="1"/>
      <c r="T12" s="1"/>
      <c r="U12" s="1"/>
      <c r="V12" s="1"/>
      <c r="W12" s="1"/>
      <c r="X12" s="1"/>
      <c r="Y12" s="1"/>
      <c r="Z12" s="1"/>
      <c r="AA12" s="1"/>
      <c r="AB12" s="1"/>
      <c r="AC12" s="145" t="e">
        <f>AK5/6</f>
        <v>#REF!</v>
      </c>
      <c r="AD12" s="138"/>
      <c r="AE12" s="4"/>
      <c r="AF12" s="145" t="e">
        <f>AT6</f>
        <v>#REF!</v>
      </c>
      <c r="AG12" s="138"/>
      <c r="AH12" s="4"/>
      <c r="AI12" s="4"/>
      <c r="AJ12" s="145" t="e">
        <f>AT7</f>
        <v>#REF!</v>
      </c>
      <c r="AK12" s="138"/>
      <c r="AL12" s="1"/>
      <c r="AM12" s="1"/>
      <c r="AN12" s="1"/>
      <c r="AO12" s="1"/>
      <c r="AP12" s="1"/>
      <c r="AQ12" s="1"/>
      <c r="AR12" s="1"/>
      <c r="AS12" s="1"/>
      <c r="AT12" s="1"/>
    </row>
    <row r="13" spans="1:46" ht="15.6" x14ac:dyDescent="0.3">
      <c r="A13" s="38">
        <v>9</v>
      </c>
      <c r="B13" s="39">
        <f t="shared" si="6"/>
        <v>12.391418452548377</v>
      </c>
      <c r="C13" s="41">
        <f t="shared" si="7"/>
        <v>27071.417640702006</v>
      </c>
      <c r="D13" s="40">
        <f t="shared" si="0"/>
        <v>335453.26408963848</v>
      </c>
      <c r="E13" s="41">
        <f t="shared" si="8"/>
        <v>6916.9899137431448</v>
      </c>
      <c r="F13" s="40">
        <f t="shared" si="1"/>
        <v>85711.316453247811</v>
      </c>
      <c r="G13" s="40">
        <f t="shared" si="2"/>
        <v>249741.94763639069</v>
      </c>
      <c r="H13" s="1"/>
      <c r="I13" s="1"/>
      <c r="J13" s="1"/>
      <c r="K13" s="1"/>
      <c r="L13" s="1"/>
      <c r="M13" s="1"/>
      <c r="N13" s="1"/>
      <c r="O13" s="46" t="s">
        <v>116</v>
      </c>
      <c r="P13" s="47">
        <f t="shared" si="3"/>
        <v>504.00000000000006</v>
      </c>
      <c r="Q13" s="48">
        <f t="shared" si="4"/>
        <v>5544.0000000000009</v>
      </c>
      <c r="R13" s="1"/>
      <c r="S13" s="1"/>
      <c r="T13" s="1"/>
      <c r="U13" s="1"/>
      <c r="V13" s="1"/>
      <c r="W13" s="1"/>
      <c r="X13" s="1"/>
      <c r="Y13" s="1"/>
      <c r="Z13" s="1"/>
      <c r="AA13" s="1"/>
      <c r="AB13" s="1"/>
      <c r="AC13" s="139"/>
      <c r="AD13" s="141"/>
      <c r="AE13" s="4"/>
      <c r="AF13" s="139"/>
      <c r="AG13" s="141"/>
      <c r="AH13" s="4"/>
      <c r="AI13" s="4"/>
      <c r="AJ13" s="139"/>
      <c r="AK13" s="141"/>
      <c r="AL13" s="1"/>
      <c r="AM13" s="1"/>
      <c r="AN13" s="1"/>
      <c r="AO13" s="1"/>
      <c r="AP13" s="1"/>
      <c r="AQ13" s="1"/>
      <c r="AR13" s="1"/>
      <c r="AS13" s="1"/>
      <c r="AT13" s="1"/>
    </row>
    <row r="14" spans="1:46" ht="15.6" x14ac:dyDescent="0.3">
      <c r="A14" s="34">
        <v>10</v>
      </c>
      <c r="B14" s="35">
        <f t="shared" si="6"/>
        <v>12.577289729336602</v>
      </c>
      <c r="C14" s="37">
        <f t="shared" si="7"/>
        <v>27342.131817109024</v>
      </c>
      <c r="D14" s="36">
        <f t="shared" si="0"/>
        <v>343889.91368149285</v>
      </c>
      <c r="E14" s="37">
        <f t="shared" si="8"/>
        <v>6882.4049641744296</v>
      </c>
      <c r="F14" s="36">
        <f t="shared" si="1"/>
        <v>86562.001269046305</v>
      </c>
      <c r="G14" s="36">
        <f t="shared" si="2"/>
        <v>257327.91241244655</v>
      </c>
      <c r="H14" s="1"/>
      <c r="I14" s="1"/>
      <c r="J14" s="1"/>
      <c r="K14" s="5" t="s">
        <v>88</v>
      </c>
      <c r="L14" s="5" t="s">
        <v>117</v>
      </c>
      <c r="M14" s="1"/>
      <c r="N14" s="1"/>
      <c r="O14" s="2" t="s">
        <v>118</v>
      </c>
      <c r="P14" s="44">
        <f t="shared" si="3"/>
        <v>576</v>
      </c>
      <c r="Q14" s="45">
        <f t="shared" si="4"/>
        <v>6336</v>
      </c>
      <c r="R14" s="1"/>
      <c r="S14" s="1"/>
      <c r="T14" s="1"/>
      <c r="U14" s="1"/>
      <c r="V14" s="1"/>
      <c r="W14" s="1"/>
      <c r="X14" s="1"/>
      <c r="Y14" s="1"/>
      <c r="Z14" s="1"/>
      <c r="AA14" s="1"/>
      <c r="AB14" s="4"/>
      <c r="AC14" s="4"/>
      <c r="AD14" s="4"/>
      <c r="AE14" s="4"/>
      <c r="AF14" s="4"/>
      <c r="AG14" s="4"/>
      <c r="AH14" s="4"/>
      <c r="AI14" s="4"/>
      <c r="AJ14" s="15"/>
      <c r="AK14" s="4"/>
      <c r="AL14" s="4"/>
      <c r="AM14" s="1"/>
      <c r="AN14" s="1"/>
      <c r="AO14" s="1"/>
      <c r="AP14" s="1"/>
      <c r="AQ14" s="1"/>
      <c r="AR14" s="1"/>
      <c r="AS14" s="1"/>
      <c r="AT14" s="1"/>
    </row>
    <row r="15" spans="1:46" ht="15.6" x14ac:dyDescent="0.3">
      <c r="A15" s="38">
        <v>11</v>
      </c>
      <c r="B15" s="39">
        <f t="shared" si="6"/>
        <v>12.765949075276652</v>
      </c>
      <c r="C15" s="41">
        <f t="shared" si="7"/>
        <v>27615.553135280115</v>
      </c>
      <c r="D15" s="40">
        <f t="shared" si="0"/>
        <v>352538.74501058244</v>
      </c>
      <c r="E15" s="41">
        <f t="shared" si="8"/>
        <v>6847.9929393535576</v>
      </c>
      <c r="F15" s="40">
        <f t="shared" si="1"/>
        <v>87421.129131641588</v>
      </c>
      <c r="G15" s="40">
        <f t="shared" si="2"/>
        <v>265117.61587894085</v>
      </c>
      <c r="H15" s="1"/>
      <c r="I15" s="1"/>
      <c r="J15" s="1"/>
      <c r="K15" s="1" t="s">
        <v>95</v>
      </c>
      <c r="L15" s="11">
        <v>0.09</v>
      </c>
      <c r="M15" s="1"/>
      <c r="N15" s="1"/>
      <c r="O15" s="46" t="s">
        <v>119</v>
      </c>
      <c r="P15" s="47">
        <f t="shared" si="3"/>
        <v>576</v>
      </c>
      <c r="Q15" s="48">
        <f t="shared" si="4"/>
        <v>6336</v>
      </c>
      <c r="R15" s="1"/>
      <c r="S15" s="1"/>
      <c r="T15" s="1"/>
      <c r="U15" s="1"/>
      <c r="V15" s="1"/>
      <c r="W15" s="1"/>
      <c r="X15" s="1"/>
      <c r="Y15" s="1"/>
      <c r="Z15" s="1"/>
      <c r="AA15" s="1"/>
      <c r="AB15" s="4"/>
      <c r="AC15" s="4"/>
      <c r="AD15" s="4"/>
      <c r="AE15" s="4"/>
      <c r="AF15" s="4"/>
      <c r="AG15" s="4"/>
      <c r="AH15" s="4"/>
      <c r="AI15" s="4"/>
      <c r="AJ15" s="4"/>
      <c r="AK15" s="4"/>
      <c r="AL15" s="4"/>
      <c r="AM15" s="1"/>
      <c r="AN15" s="1"/>
      <c r="AO15" s="1"/>
      <c r="AP15" s="1"/>
      <c r="AQ15" s="1"/>
      <c r="AR15" s="1"/>
      <c r="AS15" s="1"/>
      <c r="AT15" s="1"/>
    </row>
    <row r="16" spans="1:46" ht="15.6" x14ac:dyDescent="0.3">
      <c r="A16" s="34">
        <v>12</v>
      </c>
      <c r="B16" s="35">
        <f t="shared" si="6"/>
        <v>12.9574383114058</v>
      </c>
      <c r="C16" s="37">
        <f t="shared" si="7"/>
        <v>27891.708666632916</v>
      </c>
      <c r="D16" s="36">
        <f t="shared" si="0"/>
        <v>361405.09444759856</v>
      </c>
      <c r="E16" s="37">
        <f t="shared" si="8"/>
        <v>6813.7529746567898</v>
      </c>
      <c r="F16" s="36">
        <f t="shared" si="1"/>
        <v>88288.783838273128</v>
      </c>
      <c r="G16" s="36">
        <f t="shared" si="2"/>
        <v>273116.31060932542</v>
      </c>
      <c r="H16" s="1"/>
      <c r="I16" s="1"/>
      <c r="J16" s="1"/>
      <c r="K16" s="1" t="s">
        <v>104</v>
      </c>
      <c r="L16" s="11">
        <v>0.09</v>
      </c>
      <c r="M16" s="1"/>
      <c r="N16" s="1"/>
      <c r="O16" s="2" t="s">
        <v>120</v>
      </c>
      <c r="P16" s="44">
        <f t="shared" si="3"/>
        <v>612</v>
      </c>
      <c r="Q16" s="45">
        <f t="shared" si="4"/>
        <v>6732</v>
      </c>
      <c r="R16" s="1"/>
      <c r="S16" s="1"/>
      <c r="T16" s="1"/>
      <c r="U16" s="1"/>
      <c r="V16" s="1"/>
      <c r="W16" s="1"/>
      <c r="X16" s="1"/>
      <c r="Y16" s="1"/>
      <c r="Z16" s="1"/>
      <c r="AA16" s="1"/>
      <c r="AB16" s="1"/>
      <c r="AC16" s="144" t="s">
        <v>121</v>
      </c>
      <c r="AD16" s="135"/>
      <c r="AE16" s="14"/>
      <c r="AF16" s="144" t="s">
        <v>122</v>
      </c>
      <c r="AG16" s="135"/>
      <c r="AH16" s="14"/>
      <c r="AI16" s="4"/>
      <c r="AJ16" s="144" t="s">
        <v>123</v>
      </c>
      <c r="AK16" s="135"/>
      <c r="AL16" s="1"/>
      <c r="AM16" s="1"/>
      <c r="AN16" s="1"/>
      <c r="AO16" s="1"/>
      <c r="AP16" s="1"/>
      <c r="AQ16" s="1"/>
      <c r="AR16" s="1"/>
      <c r="AS16" s="1"/>
      <c r="AT16" s="1"/>
    </row>
    <row r="17" spans="1:46" ht="15.6" x14ac:dyDescent="0.3">
      <c r="A17" s="38">
        <v>13</v>
      </c>
      <c r="B17" s="39">
        <f t="shared" si="6"/>
        <v>13.151799886076887</v>
      </c>
      <c r="C17" s="41">
        <f t="shared" si="7"/>
        <v>28170.625753299246</v>
      </c>
      <c r="D17" s="40">
        <f t="shared" si="0"/>
        <v>370494.43257295561</v>
      </c>
      <c r="E17" s="41">
        <f t="shared" si="8"/>
        <v>6779.684209783506</v>
      </c>
      <c r="F17" s="40">
        <f t="shared" si="1"/>
        <v>89165.050017867979</v>
      </c>
      <c r="G17" s="40">
        <f t="shared" si="2"/>
        <v>281329.38255508762</v>
      </c>
      <c r="H17" s="1"/>
      <c r="I17" s="1"/>
      <c r="J17" s="1"/>
      <c r="K17" s="1" t="s">
        <v>106</v>
      </c>
      <c r="L17" s="11">
        <v>0.1</v>
      </c>
      <c r="M17" s="1"/>
      <c r="N17" s="1"/>
      <c r="O17" s="1"/>
      <c r="P17" s="1"/>
      <c r="Q17" s="1"/>
      <c r="R17" s="1"/>
      <c r="S17" s="1"/>
      <c r="T17" s="1"/>
      <c r="U17" s="1"/>
      <c r="V17" s="1"/>
      <c r="W17" s="1"/>
      <c r="X17" s="1"/>
      <c r="Y17" s="1"/>
      <c r="Z17" s="1"/>
      <c r="AA17" s="1"/>
      <c r="AB17" s="1"/>
      <c r="AC17" s="145" t="e">
        <f>AT8</f>
        <v>#REF!</v>
      </c>
      <c r="AD17" s="138"/>
      <c r="AE17" s="4"/>
      <c r="AF17" s="145" t="e">
        <f>AT9</f>
        <v>#REF!</v>
      </c>
      <c r="AG17" s="138"/>
      <c r="AH17" s="4"/>
      <c r="AI17" s="4"/>
      <c r="AJ17" s="145" t="e">
        <f>AT10</f>
        <v>#REF!</v>
      </c>
      <c r="AK17" s="138"/>
      <c r="AL17" s="1"/>
      <c r="AM17" s="1"/>
      <c r="AN17" s="1"/>
      <c r="AO17" s="1"/>
      <c r="AP17" s="1"/>
      <c r="AQ17" s="1"/>
      <c r="AR17" s="1"/>
      <c r="AS17" s="1"/>
      <c r="AT17" s="1"/>
    </row>
    <row r="18" spans="1:46" ht="15.6" x14ac:dyDescent="0.3">
      <c r="A18" s="34">
        <v>14</v>
      </c>
      <c r="B18" s="35">
        <f t="shared" si="6"/>
        <v>13.34907688436804</v>
      </c>
      <c r="C18" s="37">
        <f t="shared" si="7"/>
        <v>28452.332010832237</v>
      </c>
      <c r="D18" s="36">
        <f t="shared" si="0"/>
        <v>379812.36755216547</v>
      </c>
      <c r="E18" s="37">
        <f t="shared" si="8"/>
        <v>6745.7857887345881</v>
      </c>
      <c r="F18" s="36">
        <f t="shared" si="1"/>
        <v>90050.013139295319</v>
      </c>
      <c r="G18" s="36">
        <f t="shared" si="2"/>
        <v>289762.35441287013</v>
      </c>
      <c r="H18" s="1"/>
      <c r="I18" s="1"/>
      <c r="J18" s="1"/>
      <c r="K18" s="1" t="s">
        <v>108</v>
      </c>
      <c r="L18" s="11">
        <v>0.1</v>
      </c>
      <c r="M18" s="1"/>
      <c r="N18" s="1"/>
      <c r="O18" s="1"/>
      <c r="P18" s="1"/>
      <c r="Q18" s="1"/>
      <c r="R18" s="1"/>
      <c r="S18" s="1"/>
      <c r="T18" s="1"/>
      <c r="U18" s="1"/>
      <c r="V18" s="1"/>
      <c r="W18" s="1"/>
      <c r="X18" s="1"/>
      <c r="Y18" s="1"/>
      <c r="Z18" s="1"/>
      <c r="AA18" s="1"/>
      <c r="AB18" s="1"/>
      <c r="AC18" s="139"/>
      <c r="AD18" s="141"/>
      <c r="AE18" s="4"/>
      <c r="AF18" s="139"/>
      <c r="AG18" s="141"/>
      <c r="AH18" s="4"/>
      <c r="AI18" s="4"/>
      <c r="AJ18" s="139"/>
      <c r="AK18" s="141"/>
      <c r="AL18" s="1"/>
      <c r="AM18" s="1"/>
      <c r="AN18" s="1"/>
      <c r="AO18" s="1"/>
      <c r="AP18" s="1"/>
      <c r="AQ18" s="1"/>
      <c r="AR18" s="1"/>
      <c r="AS18" s="1"/>
      <c r="AT18" s="1"/>
    </row>
    <row r="19" spans="1:46" ht="15.6" x14ac:dyDescent="0.3">
      <c r="A19" s="38">
        <v>15</v>
      </c>
      <c r="B19" s="39">
        <f t="shared" si="6"/>
        <v>13.549313037633562</v>
      </c>
      <c r="C19" s="41">
        <f t="shared" si="7"/>
        <v>28736.855330940558</v>
      </c>
      <c r="D19" s="40">
        <f t="shared" si="0"/>
        <v>389364.64859610243</v>
      </c>
      <c r="E19" s="41">
        <f t="shared" si="8"/>
        <v>6712.056859790915</v>
      </c>
      <c r="F19" s="40">
        <f t="shared" si="1"/>
        <v>90943.759519702828</v>
      </c>
      <c r="G19" s="40">
        <f t="shared" si="2"/>
        <v>298420.88907639962</v>
      </c>
      <c r="H19" s="1"/>
      <c r="I19" s="1"/>
      <c r="J19" s="1"/>
      <c r="K19" s="1" t="s">
        <v>109</v>
      </c>
      <c r="L19" s="11">
        <v>0.1</v>
      </c>
      <c r="M19" s="1"/>
      <c r="N19" s="1"/>
      <c r="O19" s="1"/>
      <c r="P19" s="1"/>
      <c r="Q19" s="1"/>
      <c r="R19" s="1"/>
      <c r="S19" s="1"/>
      <c r="T19" s="1"/>
      <c r="U19" s="1"/>
      <c r="V19" s="1"/>
      <c r="W19" s="1"/>
      <c r="X19" s="1"/>
      <c r="Y19" s="1"/>
      <c r="Z19" s="1"/>
      <c r="AA19" s="1"/>
      <c r="AB19" s="1"/>
      <c r="AC19" s="4"/>
      <c r="AD19" s="4"/>
      <c r="AE19" s="4"/>
      <c r="AF19" s="4"/>
      <c r="AG19" s="4"/>
      <c r="AH19" s="4"/>
      <c r="AI19" s="4"/>
      <c r="AJ19" s="4"/>
      <c r="AK19" s="4"/>
      <c r="AL19" s="4"/>
      <c r="AM19" s="1"/>
      <c r="AN19" s="1"/>
      <c r="AO19" s="1"/>
      <c r="AP19" s="1"/>
      <c r="AQ19" s="1"/>
      <c r="AR19" s="1"/>
      <c r="AS19" s="1"/>
      <c r="AT19" s="1"/>
    </row>
    <row r="20" spans="1:46" ht="15.6" x14ac:dyDescent="0.3">
      <c r="A20" s="34">
        <v>16</v>
      </c>
      <c r="B20" s="35">
        <f t="shared" si="6"/>
        <v>13.752552733198065</v>
      </c>
      <c r="C20" s="37">
        <f t="shared" si="7"/>
        <v>29024.223884249965</v>
      </c>
      <c r="D20" s="36">
        <f t="shared" si="0"/>
        <v>399157.16950829444</v>
      </c>
      <c r="E20" s="37">
        <f t="shared" si="8"/>
        <v>6678.4965754919604</v>
      </c>
      <c r="F20" s="36">
        <f t="shared" si="1"/>
        <v>91846.376332935877</v>
      </c>
      <c r="G20" s="36">
        <f t="shared" si="2"/>
        <v>307310.79317535856</v>
      </c>
      <c r="H20" s="1"/>
      <c r="I20" s="1"/>
      <c r="J20" s="1"/>
      <c r="K20" s="1" t="s">
        <v>110</v>
      </c>
      <c r="L20" s="11">
        <v>7.4999999999999997E-2</v>
      </c>
      <c r="M20" s="1"/>
      <c r="N20" s="1"/>
      <c r="O20" s="1"/>
      <c r="P20" s="1"/>
      <c r="Q20" s="1"/>
      <c r="R20" s="1"/>
      <c r="S20" s="1"/>
      <c r="T20" s="1"/>
      <c r="U20" s="1"/>
      <c r="V20" s="1"/>
      <c r="W20" s="1"/>
      <c r="X20" s="1"/>
      <c r="Y20" s="1"/>
      <c r="Z20" s="1"/>
      <c r="AA20" s="1"/>
      <c r="AB20" s="1"/>
      <c r="AC20" s="4"/>
      <c r="AD20" s="4"/>
      <c r="AE20" s="4"/>
      <c r="AF20" s="4"/>
      <c r="AG20" s="4"/>
      <c r="AH20" s="4"/>
      <c r="AI20" s="4"/>
      <c r="AJ20" s="4"/>
      <c r="AK20" s="4"/>
      <c r="AL20" s="4"/>
      <c r="AM20" s="1"/>
      <c r="AN20" s="1"/>
      <c r="AO20" s="1"/>
      <c r="AP20" s="1"/>
      <c r="AQ20" s="1"/>
      <c r="AR20" s="1"/>
      <c r="AS20" s="1"/>
      <c r="AT20" s="1"/>
    </row>
    <row r="21" spans="1:46" ht="15.75" customHeight="1" x14ac:dyDescent="0.3">
      <c r="A21" s="38">
        <v>17</v>
      </c>
      <c r="B21" s="39">
        <f t="shared" si="6"/>
        <v>13.958841024196037</v>
      </c>
      <c r="C21" s="41">
        <f t="shared" si="7"/>
        <v>29314.466123092465</v>
      </c>
      <c r="D21" s="40">
        <f t="shared" si="0"/>
        <v>409195.97232142807</v>
      </c>
      <c r="E21" s="41">
        <f t="shared" si="8"/>
        <v>6645.1040926145006</v>
      </c>
      <c r="F21" s="40">
        <f t="shared" si="1"/>
        <v>92757.951618040272</v>
      </c>
      <c r="G21" s="40">
        <f t="shared" si="2"/>
        <v>316438.0207033878</v>
      </c>
      <c r="H21" s="1"/>
      <c r="I21" s="1"/>
      <c r="J21" s="1"/>
      <c r="K21" s="1" t="s">
        <v>111</v>
      </c>
      <c r="L21" s="11">
        <v>6.5000000000000002E-2</v>
      </c>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ht="15.75" customHeight="1" x14ac:dyDescent="0.3">
      <c r="A22" s="34">
        <v>18</v>
      </c>
      <c r="B22" s="35">
        <f t="shared" si="6"/>
        <v>14.168223639558978</v>
      </c>
      <c r="C22" s="37">
        <f t="shared" si="7"/>
        <v>29607.610784323391</v>
      </c>
      <c r="D22" s="36">
        <f t="shared" si="0"/>
        <v>419487.251025312</v>
      </c>
      <c r="E22" s="37">
        <f t="shared" si="8"/>
        <v>6611.8785721514278</v>
      </c>
      <c r="F22" s="36">
        <f t="shared" si="1"/>
        <v>93678.574287849318</v>
      </c>
      <c r="G22" s="36">
        <f t="shared" si="2"/>
        <v>325808.67673746269</v>
      </c>
      <c r="H22" s="1"/>
      <c r="I22" s="1"/>
      <c r="J22" s="1"/>
      <c r="K22" s="1" t="s">
        <v>115</v>
      </c>
      <c r="L22" s="11">
        <v>6.5000000000000002E-2</v>
      </c>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ht="15.75" customHeight="1" x14ac:dyDescent="0.3">
      <c r="A23" s="38">
        <v>19</v>
      </c>
      <c r="B23" s="39">
        <f t="shared" si="6"/>
        <v>14.380746994152362</v>
      </c>
      <c r="C23" s="41">
        <f t="shared" si="7"/>
        <v>29903.686892166625</v>
      </c>
      <c r="D23" s="40">
        <f t="shared" si="0"/>
        <v>430037.35538859857</v>
      </c>
      <c r="E23" s="41">
        <f t="shared" si="8"/>
        <v>6578.8191792906709</v>
      </c>
      <c r="F23" s="40">
        <f t="shared" si="1"/>
        <v>94608.334137656231</v>
      </c>
      <c r="G23" s="40">
        <f t="shared" si="2"/>
        <v>335429.02125094237</v>
      </c>
      <c r="H23" s="1"/>
      <c r="I23" s="1"/>
      <c r="J23" s="1"/>
      <c r="K23" s="1" t="s">
        <v>116</v>
      </c>
      <c r="L23" s="11">
        <v>7.0000000000000007E-2</v>
      </c>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ht="15.75" customHeight="1" x14ac:dyDescent="0.3">
      <c r="A24" s="34">
        <v>20</v>
      </c>
      <c r="B24" s="35">
        <f t="shared" si="6"/>
        <v>14.596458199064648</v>
      </c>
      <c r="C24" s="37">
        <f t="shared" si="7"/>
        <v>30202.723761088291</v>
      </c>
      <c r="D24" s="36">
        <f t="shared" si="0"/>
        <v>440852.79487662186</v>
      </c>
      <c r="E24" s="37">
        <f t="shared" si="8"/>
        <v>6545.9250833942178</v>
      </c>
      <c r="F24" s="36">
        <f t="shared" si="1"/>
        <v>95547.321853972462</v>
      </c>
      <c r="G24" s="36">
        <f t="shared" si="2"/>
        <v>345305.47302264941</v>
      </c>
      <c r="H24" s="1"/>
      <c r="I24" s="1"/>
      <c r="J24" s="1"/>
      <c r="K24" s="1" t="s">
        <v>118</v>
      </c>
      <c r="L24" s="11">
        <v>0.08</v>
      </c>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ht="15.75" customHeight="1" x14ac:dyDescent="0.3">
      <c r="A25" s="38">
        <v>21</v>
      </c>
      <c r="B25" s="39">
        <f t="shared" si="6"/>
        <v>14.815405072050618</v>
      </c>
      <c r="C25" s="41">
        <f t="shared" si="7"/>
        <v>30504.750998699175</v>
      </c>
      <c r="D25" s="40">
        <f t="shared" si="0"/>
        <v>451940.24266776891</v>
      </c>
      <c r="E25" s="41">
        <f t="shared" si="8"/>
        <v>6513.1954579772464</v>
      </c>
      <c r="F25" s="40">
        <f t="shared" si="1"/>
        <v>96495.629023373142</v>
      </c>
      <c r="G25" s="40">
        <f t="shared" si="2"/>
        <v>355444.61364439578</v>
      </c>
      <c r="H25" s="1"/>
      <c r="I25" s="1"/>
      <c r="J25" s="1"/>
      <c r="K25" s="1" t="s">
        <v>119</v>
      </c>
      <c r="L25" s="11">
        <v>0.08</v>
      </c>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ht="15.75" customHeight="1" x14ac:dyDescent="0.3">
      <c r="A26" s="34">
        <v>22</v>
      </c>
      <c r="B26" s="35">
        <f t="shared" si="6"/>
        <v>15.037636148131377</v>
      </c>
      <c r="C26" s="37">
        <f t="shared" si="7"/>
        <v>30809.798508686166</v>
      </c>
      <c r="D26" s="36">
        <f t="shared" si="0"/>
        <v>463306.53977086325</v>
      </c>
      <c r="E26" s="37">
        <f t="shared" si="8"/>
        <v>6480.6294806873602</v>
      </c>
      <c r="F26" s="36">
        <f t="shared" si="1"/>
        <v>97453.34814143012</v>
      </c>
      <c r="G26" s="36">
        <f t="shared" si="2"/>
        <v>365853.19162943313</v>
      </c>
      <c r="H26" s="1"/>
      <c r="I26" s="1"/>
      <c r="J26" s="1"/>
      <c r="K26" s="1" t="s">
        <v>120</v>
      </c>
      <c r="L26" s="11">
        <v>8.5000000000000006E-2</v>
      </c>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ht="15.75" customHeight="1" x14ac:dyDescent="0.3">
      <c r="A27" s="38">
        <v>23</v>
      </c>
      <c r="B27" s="39">
        <f t="shared" si="6"/>
        <v>15.263200690353347</v>
      </c>
      <c r="C27" s="41">
        <f t="shared" si="7"/>
        <v>31117.896493773027</v>
      </c>
      <c r="D27" s="40">
        <f t="shared" si="0"/>
        <v>474958.6992461005</v>
      </c>
      <c r="E27" s="41">
        <f t="shared" si="8"/>
        <v>6448.2263332839239</v>
      </c>
      <c r="F27" s="40">
        <f t="shared" si="1"/>
        <v>98420.572621733823</v>
      </c>
      <c r="G27" s="40">
        <f t="shared" si="2"/>
        <v>376538.12662436668</v>
      </c>
      <c r="H27" s="1"/>
      <c r="I27" s="1"/>
      <c r="J27" s="1"/>
      <c r="K27" s="1" t="s">
        <v>64</v>
      </c>
      <c r="L27" s="11">
        <f>SUM(L15:L26)</f>
        <v>0.99999999999999978</v>
      </c>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ht="15.75" customHeight="1" x14ac:dyDescent="0.3">
      <c r="A28" s="34">
        <v>24</v>
      </c>
      <c r="B28" s="35">
        <f t="shared" si="6"/>
        <v>15.492148700708647</v>
      </c>
      <c r="C28" s="37">
        <f t="shared" si="7"/>
        <v>31429.075458710759</v>
      </c>
      <c r="D28" s="36">
        <f t="shared" si="0"/>
        <v>486903.91053213988</v>
      </c>
      <c r="E28" s="37">
        <f t="shared" si="8"/>
        <v>6415.9852016175046</v>
      </c>
      <c r="F28" s="36">
        <f t="shared" si="1"/>
        <v>99397.396805004522</v>
      </c>
      <c r="G28" s="36">
        <f t="shared" si="2"/>
        <v>387506.51372713537</v>
      </c>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ht="15.75" customHeight="1" x14ac:dyDescent="0.3">
      <c r="A29" s="38">
        <v>25</v>
      </c>
      <c r="B29" s="39">
        <f t="shared" si="6"/>
        <v>15.724530931219277</v>
      </c>
      <c r="C29" s="41">
        <f t="shared" si="7"/>
        <v>31743.366213297864</v>
      </c>
      <c r="D29" s="40">
        <f t="shared" si="0"/>
        <v>499149.54388202319</v>
      </c>
      <c r="E29" s="41">
        <f t="shared" si="8"/>
        <v>6383.905275609417</v>
      </c>
      <c r="F29" s="40">
        <f t="shared" si="1"/>
        <v>100383.9159682942</v>
      </c>
      <c r="G29" s="40">
        <f t="shared" si="2"/>
        <v>398765.627913729</v>
      </c>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ht="15.75" customHeight="1" x14ac:dyDescent="0.3">
      <c r="A30" s="34">
        <v>26</v>
      </c>
      <c r="B30" s="35">
        <f t="shared" si="6"/>
        <v>15.960398895187566</v>
      </c>
      <c r="C30" s="37">
        <f t="shared" si="7"/>
        <v>32060.799875430843</v>
      </c>
      <c r="D30" s="36">
        <f t="shared" si="0"/>
        <v>511703.1549106561</v>
      </c>
      <c r="E30" s="37">
        <f t="shared" si="8"/>
        <v>6351.9857492313695</v>
      </c>
      <c r="F30" s="36">
        <f t="shared" si="1"/>
        <v>101380.22633427952</v>
      </c>
      <c r="G30" s="36">
        <f t="shared" si="2"/>
        <v>410322.92857637658</v>
      </c>
      <c r="H30" s="1"/>
      <c r="I30" s="1"/>
      <c r="J30" s="1"/>
      <c r="K30" s="5" t="s">
        <v>86</v>
      </c>
      <c r="L30" s="5" t="s">
        <v>87</v>
      </c>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ht="15.75" customHeight="1" x14ac:dyDescent="0.3">
      <c r="A31" s="38">
        <v>27</v>
      </c>
      <c r="B31" s="39">
        <f t="shared" si="6"/>
        <v>16.199804878615382</v>
      </c>
      <c r="C31" s="41">
        <f t="shared" si="7"/>
        <v>32381.407874185152</v>
      </c>
      <c r="D31" s="40">
        <f t="shared" si="0"/>
        <v>524572.48925665917</v>
      </c>
      <c r="E31" s="41">
        <f t="shared" si="8"/>
        <v>6320.2258204852124</v>
      </c>
      <c r="F31" s="40">
        <f t="shared" si="1"/>
        <v>102386.42508064724</v>
      </c>
      <c r="G31" s="40">
        <f t="shared" si="2"/>
        <v>422186.06417601195</v>
      </c>
      <c r="H31" s="1"/>
      <c r="I31" s="1"/>
      <c r="J31" s="1"/>
      <c r="K31" s="1" t="s">
        <v>124</v>
      </c>
      <c r="L31" s="1">
        <f>'Input Page'!D28</f>
        <v>600</v>
      </c>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ht="15.75" customHeight="1" x14ac:dyDescent="0.3">
      <c r="A32" s="34">
        <v>28</v>
      </c>
      <c r="B32" s="35">
        <f t="shared" si="6"/>
        <v>16.442801951794614</v>
      </c>
      <c r="C32" s="37">
        <f t="shared" si="7"/>
        <v>32705.221952927004</v>
      </c>
      <c r="D32" s="36">
        <f t="shared" si="0"/>
        <v>537765.48736146418</v>
      </c>
      <c r="E32" s="37">
        <f t="shared" si="8"/>
        <v>6288.6246913827863</v>
      </c>
      <c r="F32" s="36">
        <f t="shared" si="1"/>
        <v>103402.61034957269</v>
      </c>
      <c r="G32" s="36">
        <f t="shared" si="2"/>
        <v>434362.87701189151</v>
      </c>
      <c r="H32" s="1"/>
      <c r="I32" s="1"/>
      <c r="J32" s="1"/>
      <c r="K32" s="1" t="s">
        <v>125</v>
      </c>
      <c r="L32" s="12">
        <f>'Input Page'!D31</f>
        <v>11</v>
      </c>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ht="15.75" customHeight="1" x14ac:dyDescent="0.3">
      <c r="A33" s="38">
        <v>29</v>
      </c>
      <c r="B33" s="39">
        <f t="shared" si="6"/>
        <v>16.689443981071534</v>
      </c>
      <c r="C33" s="41">
        <f t="shared" si="7"/>
        <v>33032.274172456273</v>
      </c>
      <c r="D33" s="40">
        <f t="shared" si="0"/>
        <v>551290.28936860501</v>
      </c>
      <c r="E33" s="41">
        <f t="shared" si="8"/>
        <v>6257.1815679258725</v>
      </c>
      <c r="F33" s="40">
        <f t="shared" si="1"/>
        <v>104428.8812572922</v>
      </c>
      <c r="G33" s="40">
        <f t="shared" si="2"/>
        <v>446861.40811131278</v>
      </c>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ht="15.75" customHeight="1" x14ac:dyDescent="0.3">
      <c r="A34" s="34">
        <v>30</v>
      </c>
      <c r="B34" s="35">
        <f t="shared" si="6"/>
        <v>16.939785640787608</v>
      </c>
      <c r="C34" s="37">
        <f t="shared" si="7"/>
        <v>33362.596914180838</v>
      </c>
      <c r="D34" s="36">
        <f t="shared" si="0"/>
        <v>565155.24014622555</v>
      </c>
      <c r="E34" s="37">
        <f t="shared" si="8"/>
        <v>6225.895660086243</v>
      </c>
      <c r="F34" s="36">
        <f t="shared" si="1"/>
        <v>105465.33790377082</v>
      </c>
      <c r="G34" s="36">
        <f t="shared" si="2"/>
        <v>459689.9022424547</v>
      </c>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ht="15.75" customHeight="1" x14ac:dyDescent="0.3">
      <c r="A35" s="16"/>
      <c r="B35" s="16"/>
      <c r="C35" s="16"/>
      <c r="D35" s="17"/>
      <c r="E35" s="16"/>
      <c r="F35" s="17"/>
      <c r="G35" s="17"/>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ht="15.75" customHeight="1" x14ac:dyDescent="0.3">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row>
    <row r="504" spans="1:4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row>
    <row r="505" spans="1:4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row>
    <row r="506" spans="1:4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row>
    <row r="507" spans="1:4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row>
    <row r="508" spans="1:4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row>
    <row r="509" spans="1:4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row>
    <row r="510" spans="1:4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row>
    <row r="511" spans="1:4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row>
    <row r="512" spans="1:4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row>
    <row r="513" spans="1:4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row>
    <row r="514" spans="1:4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row>
    <row r="515" spans="1:4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row>
    <row r="516" spans="1:4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row>
    <row r="517" spans="1:4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row>
    <row r="518" spans="1:4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row>
    <row r="519" spans="1:4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row>
    <row r="520" spans="1:4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row>
    <row r="521" spans="1:4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row>
    <row r="522" spans="1:4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row>
    <row r="523" spans="1:4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row>
    <row r="524" spans="1:4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row>
    <row r="525" spans="1:4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row>
    <row r="526" spans="1:4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row>
    <row r="527" spans="1:4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row>
    <row r="528" spans="1:4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row>
    <row r="529" spans="1:4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row>
    <row r="530" spans="1:4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row>
    <row r="531" spans="1:4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row>
    <row r="532" spans="1:4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row>
    <row r="533" spans="1:4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row>
    <row r="534" spans="1:4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row>
    <row r="535" spans="1:4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row>
    <row r="536" spans="1:4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row>
    <row r="537" spans="1:4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row>
    <row r="538" spans="1:4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row>
    <row r="539" spans="1:4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row>
    <row r="540" spans="1:4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row>
    <row r="541" spans="1:4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row>
    <row r="542" spans="1:4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row>
    <row r="543" spans="1:4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row>
    <row r="544" spans="1:4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row>
    <row r="545" spans="1:4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row>
    <row r="546" spans="1:4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row>
    <row r="547" spans="1:4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row>
    <row r="548" spans="1:4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row>
    <row r="549" spans="1:4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row>
    <row r="550" spans="1:4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row>
    <row r="551" spans="1:4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row>
    <row r="552" spans="1:4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row>
    <row r="553" spans="1:4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row>
    <row r="554" spans="1:4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row>
    <row r="555" spans="1:4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row>
    <row r="556" spans="1:4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row>
    <row r="557" spans="1:4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row>
    <row r="558" spans="1:4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row>
    <row r="559" spans="1:4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row>
    <row r="560" spans="1:4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row>
    <row r="561" spans="1:4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row>
    <row r="562" spans="1:4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row>
    <row r="563" spans="1:4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row>
    <row r="564" spans="1:4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row>
    <row r="565" spans="1:4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row>
    <row r="566" spans="1:4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row>
    <row r="567" spans="1:4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row>
    <row r="568" spans="1:4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row>
    <row r="569" spans="1:4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row>
    <row r="570" spans="1:4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row>
    <row r="571" spans="1:4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row>
    <row r="572" spans="1:4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row>
    <row r="573" spans="1:4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row>
    <row r="574" spans="1:4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row>
    <row r="575" spans="1:4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row>
    <row r="576" spans="1:4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row>
    <row r="577" spans="1:4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row>
    <row r="578" spans="1:4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row>
    <row r="579" spans="1:4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row>
    <row r="580" spans="1:4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row>
    <row r="581" spans="1:4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row>
    <row r="582" spans="1:4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row>
    <row r="583" spans="1:4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row>
    <row r="584" spans="1:4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row>
    <row r="585" spans="1:4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row>
    <row r="586" spans="1:4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row>
    <row r="587" spans="1:4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row>
    <row r="588" spans="1:4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row>
    <row r="589" spans="1:4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row>
    <row r="590" spans="1:4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row>
    <row r="591" spans="1:4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row>
    <row r="592" spans="1:4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row>
    <row r="593" spans="1:4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row>
    <row r="594" spans="1:4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row>
    <row r="595" spans="1:4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row>
    <row r="596" spans="1:4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row>
    <row r="597" spans="1:4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row>
    <row r="598" spans="1:4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row>
    <row r="599" spans="1:4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row>
    <row r="600" spans="1:4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row>
    <row r="601" spans="1:4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row>
    <row r="602" spans="1:4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row>
    <row r="603" spans="1:4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row>
    <row r="604" spans="1:4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row>
    <row r="605" spans="1:4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row>
    <row r="606" spans="1:4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row>
    <row r="607" spans="1:4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row>
    <row r="608" spans="1:4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row>
    <row r="609" spans="1:4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row>
    <row r="610" spans="1:4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row>
    <row r="611" spans="1:4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row>
    <row r="612" spans="1:4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row>
    <row r="613" spans="1:4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row>
    <row r="614" spans="1:4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row>
    <row r="615" spans="1:4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row>
    <row r="616" spans="1:4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row>
    <row r="617" spans="1:4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row>
    <row r="618" spans="1:4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row>
    <row r="619" spans="1:4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row>
    <row r="620" spans="1:4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row>
    <row r="621" spans="1:4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row>
    <row r="622" spans="1:4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row>
    <row r="623" spans="1:4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row>
    <row r="624" spans="1:4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row>
    <row r="625" spans="1:4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row>
    <row r="626" spans="1:4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row>
    <row r="627" spans="1:4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row>
    <row r="628" spans="1:4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row>
    <row r="629" spans="1:4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row>
    <row r="630" spans="1:4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row>
    <row r="631" spans="1:4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row>
    <row r="632" spans="1:4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row>
    <row r="633" spans="1:4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row>
    <row r="634" spans="1:4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row>
    <row r="635" spans="1:4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row>
    <row r="636" spans="1:4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row>
    <row r="637" spans="1:4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row>
    <row r="638" spans="1:4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row>
    <row r="639" spans="1:4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row>
    <row r="640" spans="1:4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row>
    <row r="641" spans="1:4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row>
    <row r="642" spans="1:4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row>
    <row r="643" spans="1:4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row>
    <row r="644" spans="1:4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row>
    <row r="645" spans="1:4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row>
    <row r="646" spans="1:4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row>
    <row r="647" spans="1:4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row>
    <row r="648" spans="1:4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row>
    <row r="649" spans="1:4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row>
    <row r="650" spans="1:4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row>
    <row r="651" spans="1:4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row>
    <row r="652" spans="1:4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row>
    <row r="653" spans="1:4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row>
    <row r="654" spans="1:4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row>
    <row r="655" spans="1:4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row>
    <row r="656" spans="1:4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row>
    <row r="657" spans="1:4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row>
    <row r="658" spans="1:4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row>
    <row r="659" spans="1:4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row>
    <row r="660" spans="1:4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row>
    <row r="661" spans="1:4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row>
    <row r="662" spans="1:4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row>
    <row r="663" spans="1:4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row>
    <row r="664" spans="1:4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row>
    <row r="665" spans="1:4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row>
    <row r="666" spans="1:4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row>
    <row r="667" spans="1:4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row>
    <row r="668" spans="1:4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row>
    <row r="669" spans="1:4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row>
    <row r="670" spans="1:4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row>
    <row r="671" spans="1:4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row>
    <row r="672" spans="1:4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row>
    <row r="673" spans="1:4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row>
    <row r="674" spans="1:4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row>
    <row r="675" spans="1:4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row>
    <row r="676" spans="1:4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row>
    <row r="677" spans="1:4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row>
    <row r="678" spans="1:4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row>
    <row r="679" spans="1:4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row>
    <row r="680" spans="1:4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row>
    <row r="681" spans="1:4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row>
    <row r="682" spans="1:4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row>
    <row r="683" spans="1:4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row>
    <row r="684" spans="1:4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row>
    <row r="685" spans="1:4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row>
    <row r="686" spans="1:4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row>
    <row r="687" spans="1:4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row>
    <row r="688" spans="1:4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row>
    <row r="689" spans="1:4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row>
    <row r="690" spans="1:4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row>
    <row r="691" spans="1:4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row>
    <row r="692" spans="1:4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row>
    <row r="693" spans="1:4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row>
    <row r="694" spans="1:4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row>
    <row r="695" spans="1:4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row>
    <row r="696" spans="1:4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row>
    <row r="697" spans="1:4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row>
    <row r="698" spans="1:4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row>
    <row r="699" spans="1:4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row>
    <row r="700" spans="1:4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row>
    <row r="701" spans="1:4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row>
    <row r="702" spans="1:4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row>
    <row r="703" spans="1:4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row>
    <row r="704" spans="1:4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row>
    <row r="705" spans="1:4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row>
    <row r="706" spans="1:4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row>
    <row r="707" spans="1:4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row>
    <row r="708" spans="1:4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row>
    <row r="709" spans="1:4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row>
    <row r="710" spans="1:4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row>
    <row r="711" spans="1:4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row>
    <row r="712" spans="1:4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row>
    <row r="713" spans="1:4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row>
    <row r="714" spans="1:4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row>
    <row r="715" spans="1:4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row>
    <row r="716" spans="1:4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row>
    <row r="717" spans="1:4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row>
    <row r="718" spans="1:4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row>
    <row r="719" spans="1:4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row>
    <row r="720" spans="1:4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row>
    <row r="721" spans="1:4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row>
    <row r="722" spans="1:4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row>
    <row r="723" spans="1:4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row>
    <row r="724" spans="1:4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row>
    <row r="725" spans="1:4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row>
    <row r="726" spans="1:4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row>
    <row r="727" spans="1:4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row>
    <row r="728" spans="1:4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row>
    <row r="729" spans="1:4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row>
    <row r="730" spans="1:4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row>
    <row r="731" spans="1:4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row>
    <row r="732" spans="1:4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row>
    <row r="733" spans="1:4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row>
    <row r="734" spans="1:4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row>
    <row r="735" spans="1:4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row>
    <row r="736" spans="1:4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row>
    <row r="737" spans="1:4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row>
    <row r="738" spans="1:4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row>
    <row r="739" spans="1:4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row>
    <row r="740" spans="1:4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row>
    <row r="741" spans="1:4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row>
    <row r="742" spans="1:4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row>
    <row r="743" spans="1:4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row>
    <row r="744" spans="1:4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row>
    <row r="745" spans="1:4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row>
    <row r="746" spans="1:4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row>
    <row r="747" spans="1:4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row>
    <row r="748" spans="1:4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row>
    <row r="749" spans="1:4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row>
    <row r="750" spans="1:4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row>
    <row r="751" spans="1:4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row>
    <row r="752" spans="1:4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row>
    <row r="753" spans="1:4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row>
    <row r="754" spans="1:4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row>
    <row r="755" spans="1:4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row>
    <row r="756" spans="1:4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row>
    <row r="757" spans="1:4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row>
    <row r="758" spans="1:4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row>
    <row r="759" spans="1:4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row>
    <row r="760" spans="1:4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row>
    <row r="761" spans="1:4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row>
    <row r="762" spans="1:4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row>
    <row r="763" spans="1:4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row>
    <row r="764" spans="1:4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row>
    <row r="765" spans="1:4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row>
    <row r="766" spans="1:4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row>
    <row r="767" spans="1:4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row>
    <row r="768" spans="1:4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row>
    <row r="769" spans="1:4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row>
    <row r="770" spans="1:4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row>
    <row r="771" spans="1:4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row>
    <row r="772" spans="1:4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row>
    <row r="773" spans="1:4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row>
    <row r="774" spans="1:4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row>
    <row r="775" spans="1:4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row>
    <row r="776" spans="1:4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row>
    <row r="777" spans="1:4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row>
    <row r="778" spans="1:4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row>
    <row r="779" spans="1:4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row>
    <row r="780" spans="1:4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row>
    <row r="781" spans="1:4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row>
    <row r="782" spans="1:4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row>
    <row r="783" spans="1:4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row>
    <row r="784" spans="1:4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row>
    <row r="785" spans="1:4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row>
    <row r="786" spans="1:4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row>
    <row r="787" spans="1:4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row>
    <row r="788" spans="1:4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row>
    <row r="789" spans="1:4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row>
    <row r="790" spans="1:4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row>
    <row r="791" spans="1:4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row>
    <row r="792" spans="1:4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row>
    <row r="793" spans="1:4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row>
    <row r="794" spans="1:4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row>
    <row r="795" spans="1:4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row>
    <row r="796" spans="1:4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row>
    <row r="797" spans="1:4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row>
    <row r="798" spans="1:4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row>
    <row r="799" spans="1:4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row>
    <row r="800" spans="1:4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row>
    <row r="801" spans="1:4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row>
    <row r="802" spans="1:4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row>
    <row r="803" spans="1:4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row>
    <row r="804" spans="1:4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row>
    <row r="805" spans="1:4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row>
    <row r="806" spans="1:4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row>
    <row r="807" spans="1:4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row>
    <row r="808" spans="1:4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row>
    <row r="809" spans="1:4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row>
    <row r="810" spans="1:4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row>
    <row r="811" spans="1:4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row>
    <row r="812" spans="1:4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row>
    <row r="813" spans="1:4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row>
    <row r="814" spans="1:4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row>
    <row r="815" spans="1:4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row>
    <row r="816" spans="1:4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row>
    <row r="817" spans="1:4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row>
    <row r="818" spans="1:4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row>
    <row r="819" spans="1:4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row>
    <row r="820" spans="1:4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row>
    <row r="821" spans="1:4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row>
    <row r="822" spans="1:4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row>
    <row r="823" spans="1:4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row>
    <row r="824" spans="1:4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row>
    <row r="825" spans="1:4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row>
    <row r="826" spans="1:4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row>
    <row r="827" spans="1:4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row>
    <row r="828" spans="1:4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row>
    <row r="829" spans="1:4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row>
    <row r="830" spans="1:4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row>
    <row r="831" spans="1:4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row>
    <row r="832" spans="1:4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row>
    <row r="833" spans="1:4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row>
    <row r="834" spans="1:4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row>
    <row r="835" spans="1:4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row>
    <row r="836" spans="1:4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row>
    <row r="837" spans="1:4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row>
    <row r="838" spans="1:4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row>
    <row r="839" spans="1:4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row>
    <row r="840" spans="1:4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row>
    <row r="841" spans="1:4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row>
    <row r="842" spans="1:4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row>
    <row r="843" spans="1:4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row>
    <row r="844" spans="1:4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row>
    <row r="845" spans="1:4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row>
    <row r="846" spans="1:4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row>
    <row r="847" spans="1:4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row>
    <row r="848" spans="1:4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row>
    <row r="849" spans="1:4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row>
    <row r="850" spans="1:4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row>
    <row r="851" spans="1:4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row>
    <row r="852" spans="1:4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row>
    <row r="853" spans="1:4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row>
    <row r="854" spans="1:4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row>
    <row r="855" spans="1:4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row>
    <row r="856" spans="1:4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row>
    <row r="857" spans="1:4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row>
    <row r="858" spans="1:4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row>
    <row r="859" spans="1:4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row>
    <row r="860" spans="1:4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row>
    <row r="861" spans="1:4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row>
    <row r="862" spans="1:4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row>
    <row r="863" spans="1:4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row>
    <row r="864" spans="1:4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row>
    <row r="865" spans="1:4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row>
    <row r="866" spans="1:4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row>
    <row r="867" spans="1:4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row>
    <row r="868" spans="1:4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row>
    <row r="869" spans="1:4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row>
    <row r="870" spans="1:4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row>
    <row r="871" spans="1:4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row>
    <row r="872" spans="1:4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row>
    <row r="873" spans="1:4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row>
    <row r="874" spans="1:4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row>
    <row r="875" spans="1:4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row>
    <row r="876" spans="1:4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row>
    <row r="877" spans="1:4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row>
    <row r="878" spans="1:4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row>
    <row r="879" spans="1:4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row>
    <row r="880" spans="1:4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row>
    <row r="881" spans="1:4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row>
    <row r="882" spans="1:4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row>
    <row r="883" spans="1:4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row>
    <row r="884" spans="1:4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row>
    <row r="885" spans="1:4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row>
    <row r="886" spans="1:4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row>
    <row r="887" spans="1:4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row>
    <row r="888" spans="1:4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row>
    <row r="889" spans="1:4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row>
    <row r="890" spans="1:4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row>
    <row r="891" spans="1:4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row>
    <row r="892" spans="1:4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row>
    <row r="893" spans="1:4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row>
    <row r="894" spans="1:4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row>
    <row r="895" spans="1:4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row>
    <row r="896" spans="1:4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row>
    <row r="897" spans="1:4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row>
    <row r="898" spans="1:4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row>
    <row r="899" spans="1:4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row>
    <row r="900" spans="1:4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row>
    <row r="901" spans="1:4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row>
    <row r="902" spans="1:4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row>
    <row r="903" spans="1:4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row>
    <row r="904" spans="1:4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row>
    <row r="905" spans="1:4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row>
    <row r="906" spans="1:4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row>
    <row r="907" spans="1:4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row>
    <row r="908" spans="1:4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row>
    <row r="909" spans="1:4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row>
    <row r="910" spans="1:4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row>
    <row r="911" spans="1:4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row>
    <row r="912" spans="1:4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row>
    <row r="913" spans="1:4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row>
    <row r="914" spans="1:4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row>
    <row r="915" spans="1:4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row>
    <row r="916" spans="1:4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row>
    <row r="917" spans="1:4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row>
    <row r="918" spans="1:4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row>
    <row r="919" spans="1:4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row>
    <row r="920" spans="1:4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row>
    <row r="921" spans="1:4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row>
    <row r="922" spans="1:4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row>
    <row r="923" spans="1:4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row>
    <row r="924" spans="1:4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row>
    <row r="925" spans="1:4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row>
    <row r="926" spans="1:4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row>
    <row r="927" spans="1:4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row>
    <row r="928" spans="1:4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row>
    <row r="929" spans="1:4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row>
    <row r="930" spans="1:4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row>
    <row r="931" spans="1:4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row>
    <row r="932" spans="1:4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row>
    <row r="933" spans="1:4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row>
    <row r="934" spans="1:4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row>
    <row r="935" spans="1:4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row>
    <row r="936" spans="1:4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row>
    <row r="937" spans="1:4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row>
    <row r="938" spans="1:4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row>
    <row r="939" spans="1:4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row>
    <row r="940" spans="1:4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row>
    <row r="941" spans="1:4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row>
    <row r="942" spans="1:4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row>
    <row r="943" spans="1:4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row>
    <row r="944" spans="1:4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row>
    <row r="945" spans="1:4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row>
    <row r="946" spans="1:4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row>
    <row r="947" spans="1:4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row>
    <row r="948" spans="1:4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row>
    <row r="949" spans="1:4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row>
    <row r="950" spans="1:4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row>
    <row r="951" spans="1:4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row>
    <row r="952" spans="1:4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row>
    <row r="953" spans="1:4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row>
    <row r="954" spans="1:4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row>
    <row r="955" spans="1:4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row>
    <row r="956" spans="1:4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row>
    <row r="957" spans="1:4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row>
    <row r="958" spans="1:4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row>
    <row r="959" spans="1:4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row>
    <row r="960" spans="1:4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row>
    <row r="961" spans="1:4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row>
    <row r="962" spans="1:4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row>
    <row r="963" spans="1:4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row>
    <row r="964" spans="1:4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row>
    <row r="965" spans="1:4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row>
    <row r="966" spans="1:4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row>
    <row r="967" spans="1:4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row>
    <row r="968" spans="1:4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row>
    <row r="969" spans="1:4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row>
    <row r="970" spans="1:4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row>
    <row r="971" spans="1:4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row>
    <row r="972" spans="1:4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row>
    <row r="973" spans="1:4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row>
    <row r="974" spans="1:4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row>
    <row r="975" spans="1:4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row>
    <row r="976" spans="1:4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row>
    <row r="977" spans="1:4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row>
    <row r="978" spans="1:4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row>
    <row r="979" spans="1:4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row>
    <row r="980" spans="1:4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row>
    <row r="981" spans="1:4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row>
    <row r="982" spans="1:4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row>
    <row r="983" spans="1:4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row>
    <row r="984" spans="1:4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row>
    <row r="985" spans="1:4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row>
    <row r="986" spans="1:4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row>
    <row r="987" spans="1:4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row>
    <row r="988" spans="1:4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row>
    <row r="989" spans="1:4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row>
    <row r="990" spans="1:4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row>
    <row r="991" spans="1:4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row>
    <row r="992" spans="1:4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row>
    <row r="993" spans="1:4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row>
    <row r="994" spans="1:4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row>
    <row r="995" spans="1:4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row>
    <row r="996" spans="1:4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row>
    <row r="997" spans="1:4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row>
    <row r="998" spans="1:4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row>
    <row r="999" spans="1:4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row>
    <row r="1000" spans="1:4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row>
  </sheetData>
  <sheetProtection selectLockedCells="1" selectUnlockedCells="1"/>
  <mergeCells count="19">
    <mergeCell ref="AE7:AI8"/>
    <mergeCell ref="W8:X8"/>
    <mergeCell ref="AF16:AG16"/>
    <mergeCell ref="AJ16:AK16"/>
    <mergeCell ref="AC17:AD18"/>
    <mergeCell ref="AF17:AG18"/>
    <mergeCell ref="AJ17:AK18"/>
    <mergeCell ref="AC11:AD11"/>
    <mergeCell ref="AF11:AG11"/>
    <mergeCell ref="AJ11:AK11"/>
    <mergeCell ref="AC12:AD13"/>
    <mergeCell ref="AF12:AG13"/>
    <mergeCell ref="AJ12:AK13"/>
    <mergeCell ref="AC16:AD16"/>
    <mergeCell ref="A1:G2"/>
    <mergeCell ref="O1:U2"/>
    <mergeCell ref="W1:Z2"/>
    <mergeCell ref="AC5:AD5"/>
    <mergeCell ref="AI5:AJ5"/>
  </mergeCells>
  <pageMargins left="0.7" right="0.7" top="0.75" bottom="0.75" header="0" footer="0"/>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Z1000"/>
  <sheetViews>
    <sheetView topLeftCell="A22" workbookViewId="0">
      <selection activeCell="E42" sqref="E42"/>
    </sheetView>
  </sheetViews>
  <sheetFormatPr defaultColWidth="14.44140625" defaultRowHeight="15" customHeight="1" x14ac:dyDescent="0.3"/>
  <cols>
    <col min="1" max="1" width="18.6640625" customWidth="1"/>
    <col min="2" max="2" width="1.88671875" hidden="1" customWidth="1"/>
    <col min="3" max="3" width="15.88671875" hidden="1" customWidth="1"/>
    <col min="4" max="4" width="1.88671875" hidden="1" customWidth="1"/>
    <col min="5" max="5" width="22.44140625" customWidth="1"/>
    <col min="6" max="9" width="9.109375" customWidth="1"/>
    <col min="10" max="10" width="13.6640625" customWidth="1"/>
    <col min="11" max="11" width="18.5546875" customWidth="1"/>
    <col min="12" max="26" width="8.6640625" customWidth="1"/>
  </cols>
  <sheetData>
    <row r="1" spans="1:26" ht="14.4" x14ac:dyDescent="0.3">
      <c r="A1" s="2" t="s">
        <v>126</v>
      </c>
      <c r="B1" s="2"/>
      <c r="C1" s="2"/>
      <c r="D1" s="2"/>
      <c r="E1" s="2" t="s">
        <v>127</v>
      </c>
      <c r="F1" s="1"/>
      <c r="G1" s="1"/>
      <c r="H1" s="1"/>
      <c r="I1" s="1"/>
      <c r="J1" s="1"/>
      <c r="K1" s="1"/>
      <c r="L1" s="1"/>
      <c r="M1" s="1"/>
      <c r="N1" s="1"/>
      <c r="O1" s="1"/>
      <c r="P1" s="1"/>
      <c r="Q1" s="1"/>
      <c r="R1" s="1"/>
      <c r="S1" s="1"/>
      <c r="T1" s="1"/>
      <c r="U1" s="1"/>
      <c r="V1" s="1"/>
      <c r="W1" s="1"/>
      <c r="X1" s="1"/>
      <c r="Y1" s="1"/>
      <c r="Z1" s="1"/>
    </row>
    <row r="2" spans="1:26" ht="14.4" x14ac:dyDescent="0.3">
      <c r="A2" s="18" t="s">
        <v>24</v>
      </c>
      <c r="B2" s="18" t="s">
        <v>128</v>
      </c>
      <c r="C2" s="18" t="str">
        <f t="shared" ref="C2:C34" si="0">A2</f>
        <v>Company Name</v>
      </c>
      <c r="D2" s="18" t="s">
        <v>129</v>
      </c>
      <c r="E2" s="18" t="str">
        <f t="shared" ref="E2:E34" si="1">CONCATENATE(B2,C2,D2)</f>
        <v>«Company Name»</v>
      </c>
      <c r="F2" s="1"/>
      <c r="G2" s="1"/>
      <c r="H2" s="1"/>
      <c r="I2" s="1"/>
      <c r="J2" s="1"/>
      <c r="K2" s="19" t="s">
        <v>31</v>
      </c>
      <c r="L2" s="1"/>
      <c r="M2" s="1"/>
      <c r="N2" s="1"/>
      <c r="O2" s="1"/>
      <c r="P2" s="1"/>
      <c r="Q2" s="1"/>
      <c r="R2" s="1"/>
      <c r="S2" s="1"/>
      <c r="T2" s="1"/>
      <c r="U2" s="1"/>
      <c r="V2" s="1"/>
      <c r="W2" s="1"/>
      <c r="X2" s="1"/>
      <c r="Y2" s="1"/>
      <c r="Z2" s="1"/>
    </row>
    <row r="3" spans="1:26" ht="15" customHeight="1" x14ac:dyDescent="0.3">
      <c r="A3" s="18" t="s">
        <v>30</v>
      </c>
      <c r="B3" s="18" t="s">
        <v>128</v>
      </c>
      <c r="C3" s="18" t="str">
        <f t="shared" si="0"/>
        <v>Company Address</v>
      </c>
      <c r="D3" s="18" t="s">
        <v>129</v>
      </c>
      <c r="E3" s="18" t="str">
        <f t="shared" si="1"/>
        <v>«Company Address»</v>
      </c>
      <c r="F3" s="1"/>
      <c r="G3" s="1"/>
      <c r="H3" s="1"/>
      <c r="I3" s="1"/>
      <c r="J3" s="1"/>
      <c r="K3" s="1" t="s">
        <v>130</v>
      </c>
      <c r="L3" s="1"/>
      <c r="M3" s="1"/>
      <c r="N3" s="1"/>
      <c r="O3" s="1"/>
      <c r="P3" s="1"/>
      <c r="Q3" s="1"/>
      <c r="R3" s="1"/>
      <c r="S3" s="1"/>
      <c r="T3" s="1"/>
      <c r="U3" s="1"/>
      <c r="V3" s="1"/>
      <c r="W3" s="1"/>
      <c r="X3" s="1"/>
      <c r="Y3" s="1"/>
      <c r="Z3" s="1"/>
    </row>
    <row r="4" spans="1:26" ht="15" customHeight="1" x14ac:dyDescent="0.3">
      <c r="A4" s="18" t="s">
        <v>34</v>
      </c>
      <c r="B4" s="18" t="s">
        <v>128</v>
      </c>
      <c r="C4" s="18" t="str">
        <f t="shared" si="0"/>
        <v>Company Phone</v>
      </c>
      <c r="D4" s="18" t="s">
        <v>129</v>
      </c>
      <c r="E4" s="18" t="str">
        <f t="shared" si="1"/>
        <v>«Company Phone»</v>
      </c>
      <c r="F4" s="1"/>
      <c r="G4" s="1"/>
      <c r="H4" s="1"/>
      <c r="I4" s="1"/>
      <c r="J4" s="1"/>
      <c r="K4" s="1" t="s">
        <v>131</v>
      </c>
      <c r="L4" s="1"/>
      <c r="M4" s="1"/>
      <c r="N4" s="1"/>
      <c r="O4" s="1"/>
      <c r="P4" s="1"/>
      <c r="Q4" s="1"/>
      <c r="R4" s="1"/>
      <c r="S4" s="1"/>
      <c r="T4" s="1"/>
      <c r="U4" s="1"/>
      <c r="V4" s="1"/>
      <c r="W4" s="1"/>
      <c r="X4" s="1"/>
      <c r="Y4" s="1"/>
      <c r="Z4" s="1"/>
    </row>
    <row r="5" spans="1:26" ht="14.4" x14ac:dyDescent="0.3">
      <c r="A5" s="18" t="s">
        <v>37</v>
      </c>
      <c r="B5" s="18" t="s">
        <v>128</v>
      </c>
      <c r="C5" s="18" t="str">
        <f t="shared" si="0"/>
        <v>Company Mail</v>
      </c>
      <c r="D5" s="18" t="s">
        <v>129</v>
      </c>
      <c r="E5" s="18" t="str">
        <f t="shared" si="1"/>
        <v>«Company Mail»</v>
      </c>
      <c r="F5" s="1"/>
      <c r="G5" s="1"/>
      <c r="H5" s="1"/>
      <c r="I5" s="1"/>
      <c r="J5" s="1"/>
      <c r="K5" s="1" t="s">
        <v>132</v>
      </c>
      <c r="L5" s="1"/>
      <c r="M5" s="1"/>
      <c r="N5" s="1"/>
      <c r="O5" s="1"/>
      <c r="P5" s="1"/>
      <c r="Q5" s="1"/>
      <c r="R5" s="1"/>
      <c r="S5" s="1"/>
      <c r="T5" s="1"/>
      <c r="U5" s="1"/>
      <c r="V5" s="1"/>
      <c r="W5" s="1"/>
      <c r="X5" s="1"/>
      <c r="Y5" s="1"/>
      <c r="Z5" s="1"/>
    </row>
    <row r="6" spans="1:26" ht="18" x14ac:dyDescent="0.35">
      <c r="A6" s="18" t="s">
        <v>39</v>
      </c>
      <c r="B6" s="18" t="s">
        <v>128</v>
      </c>
      <c r="C6" s="18" t="str">
        <f t="shared" si="0"/>
        <v>Company GST</v>
      </c>
      <c r="D6" s="18" t="s">
        <v>129</v>
      </c>
      <c r="E6" s="18" t="str">
        <f t="shared" si="1"/>
        <v>«Company GST»</v>
      </c>
      <c r="F6" s="20"/>
      <c r="G6" s="20"/>
      <c r="H6" s="20"/>
      <c r="I6" s="21"/>
      <c r="J6" s="1"/>
      <c r="K6" s="1" t="s">
        <v>133</v>
      </c>
      <c r="L6" s="1"/>
      <c r="M6" s="1"/>
      <c r="N6" s="1"/>
      <c r="O6" s="1"/>
      <c r="P6" s="1"/>
      <c r="Q6" s="1"/>
      <c r="R6" s="1"/>
      <c r="S6" s="1"/>
      <c r="T6" s="1"/>
      <c r="U6" s="1"/>
      <c r="V6" s="1"/>
      <c r="W6" s="1"/>
      <c r="X6" s="1"/>
      <c r="Y6" s="1"/>
      <c r="Z6" s="1"/>
    </row>
    <row r="7" spans="1:26" ht="18" x14ac:dyDescent="0.35">
      <c r="A7" s="18" t="s">
        <v>40</v>
      </c>
      <c r="B7" s="18" t="s">
        <v>128</v>
      </c>
      <c r="C7" s="18" t="str">
        <f t="shared" si="0"/>
        <v>Company POC</v>
      </c>
      <c r="D7" s="18" t="s">
        <v>129</v>
      </c>
      <c r="E7" s="18" t="str">
        <f t="shared" si="1"/>
        <v>«Company POC»</v>
      </c>
      <c r="F7" s="20"/>
      <c r="G7" s="20"/>
      <c r="H7" s="20"/>
      <c r="I7" s="21"/>
      <c r="J7" s="1"/>
      <c r="K7" s="1" t="s">
        <v>32</v>
      </c>
      <c r="L7" s="1"/>
      <c r="M7" s="1"/>
      <c r="N7" s="1"/>
      <c r="O7" s="1"/>
      <c r="P7" s="1"/>
      <c r="Q7" s="1"/>
      <c r="R7" s="1"/>
      <c r="S7" s="1"/>
      <c r="T7" s="1"/>
      <c r="U7" s="1"/>
      <c r="V7" s="1"/>
      <c r="W7" s="1"/>
      <c r="X7" s="1"/>
      <c r="Y7" s="1"/>
      <c r="Z7" s="1"/>
    </row>
    <row r="8" spans="1:26" ht="29.25" customHeight="1" x14ac:dyDescent="0.3">
      <c r="A8" s="5" t="s">
        <v>23</v>
      </c>
      <c r="B8" s="5" t="s">
        <v>128</v>
      </c>
      <c r="C8" s="5" t="str">
        <f t="shared" si="0"/>
        <v>Date</v>
      </c>
      <c r="D8" s="5" t="s">
        <v>129</v>
      </c>
      <c r="E8" s="5" t="str">
        <f t="shared" si="1"/>
        <v>«Date»</v>
      </c>
      <c r="F8" s="22"/>
      <c r="G8" s="22"/>
      <c r="H8" s="22"/>
      <c r="I8" s="22"/>
      <c r="J8" s="1"/>
      <c r="K8" s="1"/>
      <c r="L8" s="1"/>
      <c r="M8" s="1"/>
      <c r="N8" s="1"/>
      <c r="O8" s="1"/>
      <c r="P8" s="1"/>
      <c r="Q8" s="1"/>
      <c r="R8" s="1"/>
      <c r="S8" s="1"/>
      <c r="T8" s="1"/>
      <c r="U8" s="1"/>
      <c r="V8" s="1"/>
      <c r="W8" s="1"/>
      <c r="X8" s="1"/>
      <c r="Y8" s="1"/>
      <c r="Z8" s="1"/>
    </row>
    <row r="9" spans="1:26" ht="18" x14ac:dyDescent="0.35">
      <c r="A9" s="5" t="s">
        <v>29</v>
      </c>
      <c r="B9" s="5" t="s">
        <v>128</v>
      </c>
      <c r="C9" s="5" t="str">
        <f t="shared" si="0"/>
        <v>Reference No.</v>
      </c>
      <c r="D9" s="5" t="s">
        <v>129</v>
      </c>
      <c r="E9" s="5" t="str">
        <f t="shared" si="1"/>
        <v>«Reference No.»</v>
      </c>
      <c r="F9" s="20"/>
      <c r="G9" s="20"/>
      <c r="H9" s="20"/>
      <c r="I9" s="21"/>
      <c r="J9" s="1"/>
      <c r="K9" s="1"/>
      <c r="L9" s="1"/>
      <c r="M9" s="1"/>
      <c r="N9" s="1"/>
      <c r="O9" s="1"/>
      <c r="P9" s="1"/>
      <c r="Q9" s="1"/>
      <c r="R9" s="1"/>
      <c r="S9" s="1"/>
      <c r="T9" s="1"/>
      <c r="U9" s="1"/>
      <c r="V9" s="1"/>
      <c r="W9" s="1"/>
      <c r="X9" s="1"/>
      <c r="Y9" s="1"/>
      <c r="Z9" s="1"/>
    </row>
    <row r="10" spans="1:26" ht="18" x14ac:dyDescent="0.35">
      <c r="A10" s="5" t="s">
        <v>45</v>
      </c>
      <c r="B10" s="5" t="s">
        <v>128</v>
      </c>
      <c r="C10" s="5" t="str">
        <f t="shared" si="0"/>
        <v>Project Size (kW)</v>
      </c>
      <c r="D10" s="5" t="s">
        <v>129</v>
      </c>
      <c r="E10" s="5" t="str">
        <f t="shared" si="1"/>
        <v>«Project Size (kW)»</v>
      </c>
      <c r="F10" s="21"/>
      <c r="G10" s="21"/>
      <c r="H10" s="21"/>
      <c r="I10" s="21"/>
      <c r="J10" s="1"/>
      <c r="K10" s="19" t="s">
        <v>134</v>
      </c>
      <c r="L10" s="1"/>
      <c r="M10" s="1"/>
      <c r="N10" s="1"/>
      <c r="O10" s="1"/>
      <c r="P10" s="1"/>
      <c r="Q10" s="1"/>
      <c r="R10" s="1"/>
      <c r="S10" s="1"/>
      <c r="T10" s="1"/>
      <c r="U10" s="1"/>
      <c r="V10" s="1"/>
      <c r="W10" s="1"/>
      <c r="X10" s="1"/>
      <c r="Y10" s="1"/>
      <c r="Z10" s="1"/>
    </row>
    <row r="11" spans="1:26" ht="18" x14ac:dyDescent="0.3">
      <c r="A11" s="5" t="s">
        <v>48</v>
      </c>
      <c r="B11" s="5" t="s">
        <v>128</v>
      </c>
      <c r="C11" s="5" t="str">
        <f t="shared" si="0"/>
        <v>Customer Name</v>
      </c>
      <c r="D11" s="5" t="s">
        <v>129</v>
      </c>
      <c r="E11" s="5" t="str">
        <f t="shared" si="1"/>
        <v>«Customer Name»</v>
      </c>
      <c r="F11" s="20"/>
      <c r="G11" s="20"/>
      <c r="H11" s="20"/>
      <c r="I11" s="20"/>
      <c r="J11" s="1"/>
      <c r="K11" s="1" t="s">
        <v>135</v>
      </c>
      <c r="L11" s="1"/>
      <c r="M11" s="1"/>
      <c r="N11" s="1"/>
      <c r="O11" s="1"/>
      <c r="P11" s="1"/>
      <c r="Q11" s="1"/>
      <c r="R11" s="1"/>
      <c r="S11" s="1"/>
      <c r="T11" s="1"/>
      <c r="U11" s="1"/>
      <c r="V11" s="1"/>
      <c r="W11" s="1"/>
      <c r="X11" s="1"/>
      <c r="Y11" s="1"/>
      <c r="Z11" s="1"/>
    </row>
    <row r="12" spans="1:26" ht="18" x14ac:dyDescent="0.35">
      <c r="A12" s="5" t="s">
        <v>50</v>
      </c>
      <c r="B12" s="5" t="s">
        <v>128</v>
      </c>
      <c r="C12" s="5" t="str">
        <f t="shared" si="0"/>
        <v>Customer Address</v>
      </c>
      <c r="D12" s="5" t="s">
        <v>129</v>
      </c>
      <c r="E12" s="5" t="str">
        <f t="shared" si="1"/>
        <v>«Customer Address»</v>
      </c>
      <c r="F12" s="21"/>
      <c r="G12" s="21"/>
      <c r="H12" s="21"/>
      <c r="I12" s="21"/>
      <c r="J12" s="1"/>
      <c r="K12" s="1" t="s">
        <v>44</v>
      </c>
      <c r="L12" s="1"/>
      <c r="M12" s="1"/>
      <c r="N12" s="1"/>
      <c r="O12" s="1"/>
      <c r="P12" s="1"/>
      <c r="Q12" s="1"/>
      <c r="R12" s="1"/>
      <c r="S12" s="1"/>
      <c r="T12" s="1"/>
      <c r="U12" s="1"/>
      <c r="V12" s="1"/>
      <c r="W12" s="1"/>
      <c r="X12" s="1"/>
      <c r="Y12" s="1"/>
      <c r="Z12" s="1"/>
    </row>
    <row r="13" spans="1:26" ht="15" customHeight="1" x14ac:dyDescent="0.3">
      <c r="A13" s="5" t="s">
        <v>53</v>
      </c>
      <c r="B13" s="5" t="s">
        <v>128</v>
      </c>
      <c r="C13" s="5" t="str">
        <f t="shared" si="0"/>
        <v>Customer Phone</v>
      </c>
      <c r="D13" s="5" t="s">
        <v>129</v>
      </c>
      <c r="E13" s="5" t="str">
        <f t="shared" si="1"/>
        <v>«Customer Phone»</v>
      </c>
      <c r="F13" s="22"/>
      <c r="G13" s="22"/>
      <c r="H13" s="22"/>
      <c r="I13" s="22"/>
      <c r="J13" s="3"/>
      <c r="K13" s="1"/>
      <c r="L13" s="3"/>
      <c r="M13" s="3"/>
      <c r="N13" s="3"/>
      <c r="O13" s="3"/>
      <c r="P13" s="3"/>
      <c r="Q13" s="3"/>
      <c r="R13" s="3"/>
      <c r="S13" s="3"/>
      <c r="T13" s="3"/>
      <c r="U13" s="3"/>
      <c r="V13" s="3"/>
      <c r="W13" s="3"/>
      <c r="X13" s="3"/>
      <c r="Y13" s="3"/>
      <c r="Z13" s="3"/>
    </row>
    <row r="14" spans="1:26" ht="15" customHeight="1" x14ac:dyDescent="0.3">
      <c r="A14" s="5" t="s">
        <v>54</v>
      </c>
      <c r="B14" s="5" t="s">
        <v>128</v>
      </c>
      <c r="C14" s="5" t="str">
        <f t="shared" si="0"/>
        <v>Customer Mail</v>
      </c>
      <c r="D14" s="5" t="s">
        <v>129</v>
      </c>
      <c r="E14" s="5" t="str">
        <f t="shared" si="1"/>
        <v>«Customer Mail»</v>
      </c>
      <c r="F14" s="22"/>
      <c r="G14" s="22"/>
      <c r="H14" s="22"/>
      <c r="I14" s="22"/>
      <c r="J14" s="3"/>
      <c r="K14" s="1"/>
      <c r="L14" s="3"/>
      <c r="M14" s="3"/>
      <c r="N14" s="3"/>
      <c r="O14" s="3"/>
      <c r="P14" s="3"/>
      <c r="Q14" s="3"/>
      <c r="R14" s="3"/>
      <c r="S14" s="3"/>
      <c r="T14" s="3"/>
      <c r="U14" s="3"/>
      <c r="V14" s="3"/>
      <c r="W14" s="3"/>
      <c r="X14" s="3"/>
      <c r="Y14" s="3"/>
      <c r="Z14" s="3"/>
    </row>
    <row r="15" spans="1:26" ht="15" customHeight="1" x14ac:dyDescent="0.3">
      <c r="A15" s="23" t="s">
        <v>47</v>
      </c>
      <c r="B15" s="23" t="s">
        <v>128</v>
      </c>
      <c r="C15" s="23" t="str">
        <f t="shared" si="0"/>
        <v>Payment Term</v>
      </c>
      <c r="D15" s="23" t="s">
        <v>129</v>
      </c>
      <c r="E15" s="23" t="str">
        <f t="shared" si="1"/>
        <v>«Payment Term»</v>
      </c>
      <c r="F15" s="24" t="s">
        <v>136</v>
      </c>
      <c r="G15" s="22"/>
      <c r="H15" s="22"/>
      <c r="I15" s="22"/>
      <c r="J15" s="3"/>
      <c r="K15" s="19" t="s">
        <v>137</v>
      </c>
      <c r="L15" s="3"/>
      <c r="M15" s="3"/>
      <c r="N15" s="3"/>
      <c r="O15" s="3"/>
      <c r="P15" s="3"/>
      <c r="Q15" s="3"/>
      <c r="R15" s="3"/>
      <c r="S15" s="3"/>
      <c r="T15" s="3"/>
      <c r="U15" s="3"/>
      <c r="V15" s="3"/>
      <c r="W15" s="3"/>
      <c r="X15" s="3"/>
      <c r="Y15" s="3"/>
      <c r="Z15" s="3"/>
    </row>
    <row r="16" spans="1:26" ht="15" customHeight="1" x14ac:dyDescent="0.3">
      <c r="A16" s="23" t="s">
        <v>61</v>
      </c>
      <c r="B16" s="23" t="s">
        <v>128</v>
      </c>
      <c r="C16" s="23" t="str">
        <f t="shared" si="0"/>
        <v>Bank Details</v>
      </c>
      <c r="D16" s="23" t="s">
        <v>129</v>
      </c>
      <c r="E16" s="23" t="str">
        <f t="shared" si="1"/>
        <v>«Bank Details»</v>
      </c>
      <c r="F16" s="24" t="s">
        <v>136</v>
      </c>
      <c r="G16" s="22"/>
      <c r="H16" s="22"/>
      <c r="I16" s="22"/>
      <c r="J16" s="3"/>
      <c r="K16" s="1" t="s">
        <v>138</v>
      </c>
      <c r="L16" s="3"/>
      <c r="M16" s="3"/>
      <c r="N16" s="3"/>
      <c r="O16" s="3"/>
      <c r="P16" s="3"/>
      <c r="Q16" s="3"/>
      <c r="R16" s="3"/>
      <c r="S16" s="3"/>
      <c r="T16" s="3"/>
      <c r="U16" s="3"/>
      <c r="V16" s="3"/>
      <c r="W16" s="3"/>
      <c r="X16" s="3"/>
      <c r="Y16" s="3"/>
      <c r="Z16" s="3"/>
    </row>
    <row r="17" spans="1:26" ht="15" customHeight="1" x14ac:dyDescent="0.3">
      <c r="A17" s="25" t="s">
        <v>74</v>
      </c>
      <c r="B17" s="25" t="s">
        <v>128</v>
      </c>
      <c r="C17" s="25" t="str">
        <f t="shared" si="0"/>
        <v>Terms &amp; Conditions</v>
      </c>
      <c r="D17" s="25" t="s">
        <v>129</v>
      </c>
      <c r="E17" s="25" t="str">
        <f t="shared" si="1"/>
        <v>«Terms &amp; Conditions»</v>
      </c>
      <c r="F17" s="24" t="s">
        <v>136</v>
      </c>
      <c r="G17" s="22"/>
      <c r="H17" s="22"/>
      <c r="I17" s="22"/>
      <c r="J17" s="3"/>
      <c r="K17" s="1" t="s">
        <v>139</v>
      </c>
      <c r="L17" s="3"/>
      <c r="M17" s="3"/>
      <c r="N17" s="3"/>
      <c r="O17" s="3"/>
      <c r="P17" s="3"/>
      <c r="Q17" s="3"/>
      <c r="R17" s="3"/>
      <c r="S17" s="3"/>
      <c r="T17" s="3"/>
      <c r="U17" s="3"/>
      <c r="V17" s="3"/>
      <c r="W17" s="3"/>
      <c r="X17" s="3"/>
      <c r="Y17" s="3"/>
      <c r="Z17" s="3"/>
    </row>
    <row r="18" spans="1:26" ht="15" customHeight="1" x14ac:dyDescent="0.3">
      <c r="A18" s="26" t="s">
        <v>4</v>
      </c>
      <c r="B18" s="27" t="s">
        <v>128</v>
      </c>
      <c r="C18" s="27" t="str">
        <f t="shared" si="0"/>
        <v>Pay Back Period</v>
      </c>
      <c r="D18" s="27" t="s">
        <v>129</v>
      </c>
      <c r="E18" s="27" t="str">
        <f t="shared" si="1"/>
        <v>«Pay Back Period»</v>
      </c>
      <c r="F18" s="22"/>
      <c r="G18" s="22"/>
      <c r="H18" s="22"/>
      <c r="I18" s="22"/>
      <c r="J18" s="3"/>
      <c r="K18" s="1" t="s">
        <v>46</v>
      </c>
      <c r="L18" s="3"/>
      <c r="M18" s="3"/>
      <c r="N18" s="3"/>
      <c r="O18" s="3"/>
      <c r="P18" s="3"/>
      <c r="Q18" s="3"/>
      <c r="R18" s="3"/>
      <c r="S18" s="3"/>
      <c r="T18" s="3"/>
      <c r="U18" s="3"/>
      <c r="V18" s="3"/>
      <c r="W18" s="3"/>
      <c r="X18" s="3"/>
      <c r="Y18" s="3"/>
      <c r="Z18" s="3"/>
    </row>
    <row r="19" spans="1:26" ht="15" customHeight="1" x14ac:dyDescent="0.3">
      <c r="A19" s="26" t="s">
        <v>5</v>
      </c>
      <c r="B19" s="27" t="s">
        <v>128</v>
      </c>
      <c r="C19" s="27" t="str">
        <f t="shared" si="0"/>
        <v>Annual Saving</v>
      </c>
      <c r="D19" s="27" t="s">
        <v>129</v>
      </c>
      <c r="E19" s="27" t="str">
        <f t="shared" si="1"/>
        <v>«Annual Saving»</v>
      </c>
      <c r="F19" s="22"/>
      <c r="G19" s="22"/>
      <c r="H19" s="22"/>
      <c r="I19" s="22"/>
      <c r="J19" s="3"/>
      <c r="K19" s="1"/>
      <c r="L19" s="3"/>
      <c r="M19" s="3"/>
      <c r="N19" s="3"/>
      <c r="O19" s="3"/>
      <c r="P19" s="3"/>
      <c r="Q19" s="3"/>
      <c r="R19" s="3"/>
      <c r="S19" s="3"/>
      <c r="T19" s="3"/>
      <c r="U19" s="3"/>
      <c r="V19" s="3"/>
      <c r="W19" s="3"/>
      <c r="X19" s="3"/>
      <c r="Y19" s="3"/>
      <c r="Z19" s="3"/>
    </row>
    <row r="20" spans="1:26" ht="15" customHeight="1" x14ac:dyDescent="0.3">
      <c r="A20" s="26" t="s">
        <v>6</v>
      </c>
      <c r="B20" s="27" t="s">
        <v>128</v>
      </c>
      <c r="C20" s="27" t="str">
        <f t="shared" si="0"/>
        <v>Annual Generation</v>
      </c>
      <c r="D20" s="27" t="s">
        <v>129</v>
      </c>
      <c r="E20" s="27" t="str">
        <f t="shared" si="1"/>
        <v>«Annual Generation»</v>
      </c>
      <c r="F20" s="22"/>
      <c r="G20" s="22"/>
      <c r="H20" s="22"/>
      <c r="I20" s="22"/>
      <c r="J20" s="3"/>
      <c r="K20" s="1"/>
      <c r="L20" s="3"/>
      <c r="M20" s="3"/>
      <c r="N20" s="3"/>
      <c r="O20" s="3"/>
      <c r="P20" s="3"/>
      <c r="Q20" s="3"/>
      <c r="R20" s="3"/>
      <c r="S20" s="3"/>
      <c r="T20" s="3"/>
      <c r="U20" s="3"/>
      <c r="V20" s="3"/>
      <c r="W20" s="3"/>
      <c r="X20" s="3"/>
      <c r="Y20" s="3"/>
      <c r="Z20" s="3"/>
    </row>
    <row r="21" spans="1:26" ht="15" customHeight="1" x14ac:dyDescent="0.3">
      <c r="A21" s="26" t="s">
        <v>15</v>
      </c>
      <c r="B21" s="27" t="s">
        <v>128</v>
      </c>
      <c r="C21" s="27" t="str">
        <f t="shared" si="0"/>
        <v>Project Cost</v>
      </c>
      <c r="D21" s="27" t="s">
        <v>129</v>
      </c>
      <c r="E21" s="27" t="str">
        <f t="shared" si="1"/>
        <v>«Project Cost»</v>
      </c>
      <c r="F21" s="22"/>
      <c r="G21" s="22"/>
      <c r="H21" s="22"/>
      <c r="I21" s="22"/>
      <c r="J21" s="3"/>
      <c r="K21" s="19" t="s">
        <v>140</v>
      </c>
      <c r="L21" s="3"/>
      <c r="M21" s="3"/>
      <c r="N21" s="3"/>
      <c r="O21" s="3"/>
      <c r="P21" s="3"/>
      <c r="Q21" s="3"/>
      <c r="R21" s="3"/>
      <c r="S21" s="3"/>
      <c r="T21" s="3"/>
      <c r="U21" s="3"/>
      <c r="V21" s="3"/>
      <c r="W21" s="3"/>
      <c r="X21" s="3"/>
      <c r="Y21" s="3"/>
      <c r="Z21" s="3"/>
    </row>
    <row r="22" spans="1:26" ht="15" customHeight="1" x14ac:dyDescent="0.3">
      <c r="A22" s="26" t="s">
        <v>22</v>
      </c>
      <c r="B22" s="27" t="s">
        <v>128</v>
      </c>
      <c r="C22" s="27" t="str">
        <f t="shared" si="0"/>
        <v>Tree Saved</v>
      </c>
      <c r="D22" s="27" t="s">
        <v>129</v>
      </c>
      <c r="E22" s="27" t="str">
        <f t="shared" si="1"/>
        <v>«Tree Saved»</v>
      </c>
      <c r="F22" s="22"/>
      <c r="G22" s="22"/>
      <c r="H22" s="22"/>
      <c r="I22" s="22"/>
      <c r="J22" s="3"/>
      <c r="K22" s="1" t="s">
        <v>141</v>
      </c>
      <c r="L22" s="3"/>
      <c r="M22" s="3"/>
      <c r="N22" s="3"/>
      <c r="O22" s="3"/>
      <c r="P22" s="3"/>
      <c r="Q22" s="3"/>
      <c r="R22" s="3"/>
      <c r="S22" s="3"/>
      <c r="T22" s="3"/>
      <c r="U22" s="3"/>
      <c r="V22" s="3"/>
      <c r="W22" s="3"/>
      <c r="X22" s="3"/>
      <c r="Y22" s="3"/>
      <c r="Z22" s="3"/>
    </row>
    <row r="23" spans="1:26" ht="15" customHeight="1" x14ac:dyDescent="0.3">
      <c r="A23" s="26" t="s">
        <v>28</v>
      </c>
      <c r="B23" s="27" t="s">
        <v>128</v>
      </c>
      <c r="C23" s="27" t="str">
        <f t="shared" si="0"/>
        <v>Co2 Reduction</v>
      </c>
      <c r="D23" s="27" t="s">
        <v>129</v>
      </c>
      <c r="E23" s="27" t="str">
        <f t="shared" si="1"/>
        <v>«Co2 Reduction»</v>
      </c>
      <c r="F23" s="22"/>
      <c r="G23" s="22"/>
      <c r="H23" s="22"/>
      <c r="I23" s="22"/>
      <c r="J23" s="3"/>
      <c r="K23" s="1" t="s">
        <v>142</v>
      </c>
      <c r="L23" s="3"/>
      <c r="M23" s="3"/>
      <c r="N23" s="3"/>
      <c r="O23" s="3"/>
      <c r="P23" s="3"/>
      <c r="Q23" s="3"/>
      <c r="R23" s="3"/>
      <c r="S23" s="3"/>
      <c r="T23" s="3"/>
      <c r="U23" s="3"/>
      <c r="V23" s="3"/>
      <c r="W23" s="3"/>
      <c r="X23" s="3"/>
      <c r="Y23" s="3"/>
      <c r="Z23" s="3"/>
    </row>
    <row r="24" spans="1:26" ht="15" customHeight="1" x14ac:dyDescent="0.3">
      <c r="A24" s="29" t="s">
        <v>19</v>
      </c>
      <c r="B24" s="29" t="s">
        <v>128</v>
      </c>
      <c r="C24" s="29" t="str">
        <f t="shared" si="0"/>
        <v>Watt Peak</v>
      </c>
      <c r="D24" s="29" t="s">
        <v>129</v>
      </c>
      <c r="E24" s="29" t="str">
        <f t="shared" si="1"/>
        <v>«Watt Peak»</v>
      </c>
      <c r="F24" s="22"/>
      <c r="G24" s="22"/>
      <c r="H24" s="22"/>
      <c r="I24" s="22"/>
      <c r="J24" s="3"/>
      <c r="K24" s="1" t="s">
        <v>65</v>
      </c>
      <c r="L24" s="3"/>
      <c r="M24" s="3"/>
      <c r="N24" s="3"/>
      <c r="O24" s="3"/>
      <c r="P24" s="3"/>
      <c r="Q24" s="3"/>
      <c r="R24" s="3"/>
      <c r="S24" s="3"/>
      <c r="T24" s="3"/>
      <c r="U24" s="3"/>
      <c r="V24" s="3"/>
      <c r="W24" s="3"/>
      <c r="X24" s="3"/>
      <c r="Y24" s="3"/>
      <c r="Z24" s="3"/>
    </row>
    <row r="25" spans="1:26" ht="15" customHeight="1" x14ac:dyDescent="0.3">
      <c r="A25" s="29" t="s">
        <v>25</v>
      </c>
      <c r="B25" s="29" t="s">
        <v>128</v>
      </c>
      <c r="C25" s="29" t="str">
        <f t="shared" si="0"/>
        <v>No. of Panels</v>
      </c>
      <c r="D25" s="29" t="s">
        <v>129</v>
      </c>
      <c r="E25" s="29" t="str">
        <f t="shared" si="1"/>
        <v>«No. of Panels»</v>
      </c>
      <c r="F25" s="22"/>
      <c r="G25" s="22"/>
      <c r="H25" s="22"/>
      <c r="I25" s="22"/>
      <c r="J25" s="3"/>
      <c r="K25" s="1" t="s">
        <v>143</v>
      </c>
      <c r="L25" s="3"/>
      <c r="M25" s="3"/>
      <c r="N25" s="3"/>
      <c r="O25" s="3"/>
      <c r="P25" s="3"/>
      <c r="Q25" s="3"/>
      <c r="R25" s="3"/>
      <c r="S25" s="3"/>
      <c r="T25" s="3"/>
      <c r="U25" s="3"/>
      <c r="V25" s="3"/>
      <c r="W25" s="3"/>
      <c r="X25" s="3"/>
      <c r="Y25" s="3"/>
      <c r="Z25" s="3"/>
    </row>
    <row r="26" spans="1:26" ht="15" customHeight="1" x14ac:dyDescent="0.3">
      <c r="A26" s="29" t="s">
        <v>31</v>
      </c>
      <c r="B26" s="29" t="s">
        <v>128</v>
      </c>
      <c r="C26" s="29" t="str">
        <f t="shared" si="0"/>
        <v>Panel Type</v>
      </c>
      <c r="D26" s="29" t="s">
        <v>129</v>
      </c>
      <c r="E26" s="29" t="str">
        <f t="shared" si="1"/>
        <v>«Panel Type»</v>
      </c>
      <c r="F26" s="22"/>
      <c r="G26" s="22"/>
      <c r="H26" s="22"/>
      <c r="I26" s="22"/>
      <c r="J26" s="3"/>
      <c r="K26" s="1" t="s">
        <v>144</v>
      </c>
      <c r="L26" s="3"/>
      <c r="M26" s="3"/>
      <c r="N26" s="3"/>
      <c r="O26" s="3"/>
      <c r="P26" s="3"/>
      <c r="Q26" s="3"/>
      <c r="R26" s="3"/>
      <c r="S26" s="3"/>
      <c r="T26" s="3"/>
      <c r="U26" s="3"/>
      <c r="V26" s="3"/>
      <c r="W26" s="3"/>
      <c r="X26" s="3"/>
      <c r="Y26" s="3"/>
      <c r="Z26" s="3"/>
    </row>
    <row r="27" spans="1:26" ht="15" customHeight="1" x14ac:dyDescent="0.3">
      <c r="A27" s="2" t="s">
        <v>155</v>
      </c>
      <c r="B27" s="29" t="s">
        <v>128</v>
      </c>
      <c r="C27" s="29" t="str">
        <f t="shared" si="0"/>
        <v>Panel Make/Brand</v>
      </c>
      <c r="D27" s="29" t="s">
        <v>129</v>
      </c>
      <c r="E27" s="29" t="str">
        <f t="shared" si="1"/>
        <v>«Panel Make/Brand»</v>
      </c>
      <c r="F27" s="22"/>
      <c r="G27" s="22"/>
      <c r="H27" s="22"/>
      <c r="I27" s="22"/>
      <c r="J27" s="3"/>
      <c r="K27" s="1" t="s">
        <v>145</v>
      </c>
      <c r="L27" s="3"/>
      <c r="M27" s="3"/>
      <c r="N27" s="3"/>
      <c r="O27" s="3"/>
      <c r="P27" s="3"/>
      <c r="Q27" s="3"/>
      <c r="R27" s="3"/>
      <c r="S27" s="3"/>
      <c r="T27" s="3"/>
      <c r="U27" s="3"/>
      <c r="V27" s="3"/>
      <c r="W27" s="3"/>
      <c r="X27" s="3"/>
      <c r="Y27" s="3"/>
      <c r="Z27" s="3"/>
    </row>
    <row r="28" spans="1:26" ht="15" customHeight="1" x14ac:dyDescent="0.3">
      <c r="A28" s="29" t="s">
        <v>147</v>
      </c>
      <c r="B28" s="29" t="s">
        <v>128</v>
      </c>
      <c r="C28" s="29" t="str">
        <f t="shared" si="0"/>
        <v>Panel Warranty</v>
      </c>
      <c r="D28" s="29" t="s">
        <v>129</v>
      </c>
      <c r="E28" s="29" t="str">
        <f t="shared" si="1"/>
        <v>«Panel Warranty»</v>
      </c>
      <c r="F28" s="22"/>
      <c r="G28" s="22"/>
      <c r="H28" s="22"/>
      <c r="I28" s="22"/>
      <c r="J28" s="3"/>
      <c r="K28" s="1" t="s">
        <v>146</v>
      </c>
      <c r="L28" s="3"/>
      <c r="M28" s="3"/>
      <c r="N28" s="3"/>
      <c r="O28" s="3"/>
      <c r="P28" s="3"/>
      <c r="Q28" s="3"/>
      <c r="R28" s="3"/>
      <c r="S28" s="3"/>
      <c r="T28" s="3"/>
      <c r="U28" s="3"/>
      <c r="V28" s="3"/>
      <c r="W28" s="3"/>
      <c r="X28" s="3"/>
      <c r="Y28" s="3"/>
      <c r="Z28" s="3"/>
    </row>
    <row r="29" spans="1:26" ht="15" customHeight="1" x14ac:dyDescent="0.3">
      <c r="A29" s="30" t="s">
        <v>148</v>
      </c>
      <c r="B29" s="30" t="s">
        <v>128</v>
      </c>
      <c r="C29" s="30" t="str">
        <f t="shared" si="0"/>
        <v>Size (kW)</v>
      </c>
      <c r="D29" s="30" t="s">
        <v>129</v>
      </c>
      <c r="E29" s="29" t="str">
        <f t="shared" si="1"/>
        <v>«Size (kW)»</v>
      </c>
      <c r="F29" s="22"/>
      <c r="G29" s="22"/>
      <c r="H29" s="22"/>
      <c r="I29" s="22"/>
      <c r="J29" s="3"/>
      <c r="K29" s="3"/>
      <c r="L29" s="3"/>
      <c r="M29" s="3"/>
      <c r="N29" s="3"/>
      <c r="O29" s="3"/>
      <c r="P29" s="3"/>
      <c r="Q29" s="3"/>
      <c r="R29" s="3"/>
      <c r="S29" s="3"/>
      <c r="T29" s="3"/>
      <c r="U29" s="3"/>
      <c r="V29" s="3"/>
      <c r="W29" s="3"/>
      <c r="X29" s="3"/>
      <c r="Y29" s="3"/>
      <c r="Z29" s="3"/>
    </row>
    <row r="30" spans="1:26" ht="18.75" customHeight="1" x14ac:dyDescent="0.3">
      <c r="A30" s="2" t="s">
        <v>156</v>
      </c>
      <c r="B30" s="30" t="s">
        <v>128</v>
      </c>
      <c r="C30" s="30" t="str">
        <f t="shared" si="0"/>
        <v>Inverter Make/Brand</v>
      </c>
      <c r="D30" s="30" t="s">
        <v>129</v>
      </c>
      <c r="E30" s="30" t="str">
        <f t="shared" si="1"/>
        <v>«Inverter Make/Brand»</v>
      </c>
      <c r="F30" s="28"/>
      <c r="G30" s="28"/>
      <c r="H30" s="28"/>
      <c r="I30" s="20"/>
      <c r="J30" s="3"/>
      <c r="K30" s="3"/>
      <c r="L30" s="3"/>
      <c r="M30" s="3"/>
      <c r="N30" s="3"/>
      <c r="O30" s="3"/>
      <c r="P30" s="3"/>
      <c r="Q30" s="3"/>
      <c r="R30" s="3"/>
      <c r="S30" s="3"/>
      <c r="T30" s="3"/>
      <c r="U30" s="3"/>
      <c r="V30" s="3"/>
      <c r="W30" s="3"/>
      <c r="X30" s="3"/>
      <c r="Y30" s="3"/>
      <c r="Z30" s="3"/>
    </row>
    <row r="31" spans="1:26" ht="15.75" customHeight="1" x14ac:dyDescent="0.3">
      <c r="A31" s="30" t="s">
        <v>149</v>
      </c>
      <c r="B31" s="30" t="s">
        <v>128</v>
      </c>
      <c r="C31" s="30" t="str">
        <f t="shared" si="0"/>
        <v>Phase</v>
      </c>
      <c r="D31" s="30" t="s">
        <v>129</v>
      </c>
      <c r="E31" s="30" t="str">
        <f t="shared" si="1"/>
        <v>«Phase»</v>
      </c>
      <c r="F31" s="28"/>
      <c r="G31" s="28"/>
      <c r="H31" s="28"/>
      <c r="I31" s="22"/>
      <c r="J31" s="3"/>
      <c r="K31" s="3"/>
      <c r="L31" s="3"/>
      <c r="M31" s="3"/>
      <c r="N31" s="3"/>
      <c r="O31" s="3"/>
      <c r="P31" s="3"/>
      <c r="Q31" s="3"/>
      <c r="R31" s="3"/>
      <c r="S31" s="3"/>
      <c r="T31" s="3"/>
      <c r="U31" s="3"/>
      <c r="V31" s="3"/>
      <c r="W31" s="3"/>
      <c r="X31" s="3"/>
      <c r="Y31" s="3"/>
      <c r="Z31" s="3"/>
    </row>
    <row r="32" spans="1:26" ht="15" customHeight="1" x14ac:dyDescent="0.3">
      <c r="A32" s="30" t="s">
        <v>150</v>
      </c>
      <c r="B32" s="30" t="s">
        <v>128</v>
      </c>
      <c r="C32" s="30" t="str">
        <f t="shared" si="0"/>
        <v>Type</v>
      </c>
      <c r="D32" s="30" t="s">
        <v>129</v>
      </c>
      <c r="E32" s="30" t="str">
        <f t="shared" si="1"/>
        <v>«Type»</v>
      </c>
      <c r="F32" s="28"/>
      <c r="G32" s="28"/>
      <c r="H32" s="28"/>
      <c r="I32" s="3"/>
      <c r="J32" s="3"/>
      <c r="K32" s="3"/>
      <c r="L32" s="3"/>
      <c r="M32" s="3"/>
      <c r="N32" s="3"/>
      <c r="O32" s="3"/>
      <c r="P32" s="3"/>
      <c r="Q32" s="3"/>
      <c r="R32" s="3"/>
      <c r="S32" s="3"/>
      <c r="T32" s="3"/>
      <c r="U32" s="3"/>
      <c r="V32" s="3"/>
      <c r="W32" s="3"/>
      <c r="X32" s="3"/>
      <c r="Y32" s="3"/>
      <c r="Z32" s="3"/>
    </row>
    <row r="33" spans="1:26" ht="15" customHeight="1" x14ac:dyDescent="0.3">
      <c r="A33" s="30" t="s">
        <v>151</v>
      </c>
      <c r="B33" s="31" t="s">
        <v>128</v>
      </c>
      <c r="C33" s="31" t="str">
        <f t="shared" si="0"/>
        <v>Quantity</v>
      </c>
      <c r="D33" s="31" t="s">
        <v>129</v>
      </c>
      <c r="E33" s="31" t="str">
        <f t="shared" si="1"/>
        <v>«Quantity»</v>
      </c>
      <c r="F33" s="28"/>
      <c r="G33" s="28"/>
      <c r="H33" s="28"/>
      <c r="I33" s="3"/>
      <c r="J33" s="3"/>
      <c r="K33" s="3"/>
      <c r="L33" s="3"/>
      <c r="M33" s="3"/>
      <c r="N33" s="3"/>
      <c r="O33" s="3"/>
      <c r="P33" s="3"/>
      <c r="Q33" s="3"/>
      <c r="R33" s="3"/>
      <c r="S33" s="3"/>
      <c r="T33" s="3"/>
      <c r="U33" s="3"/>
      <c r="V33" s="3"/>
      <c r="W33" s="3"/>
      <c r="X33" s="3"/>
      <c r="Y33" s="3"/>
      <c r="Z33" s="3"/>
    </row>
    <row r="34" spans="1:26" ht="15.75" customHeight="1" x14ac:dyDescent="0.3">
      <c r="A34" s="30" t="s">
        <v>152</v>
      </c>
      <c r="B34" s="31" t="s">
        <v>128</v>
      </c>
      <c r="C34" s="31" t="str">
        <f t="shared" si="0"/>
        <v>Inverter Warranty</v>
      </c>
      <c r="D34" s="31" t="s">
        <v>129</v>
      </c>
      <c r="E34" s="31" t="str">
        <f t="shared" si="1"/>
        <v>«Inverter Warranty»</v>
      </c>
      <c r="F34" s="20"/>
      <c r="G34" s="20"/>
      <c r="H34" s="20"/>
      <c r="I34" s="3"/>
      <c r="J34" s="1"/>
      <c r="K34" s="1"/>
      <c r="L34" s="1"/>
      <c r="M34" s="1"/>
      <c r="N34" s="1"/>
      <c r="O34" s="1"/>
      <c r="P34" s="1"/>
      <c r="Q34" s="1"/>
      <c r="R34" s="1"/>
      <c r="S34" s="1"/>
      <c r="T34" s="1"/>
      <c r="U34" s="1"/>
      <c r="V34" s="1"/>
      <c r="W34" s="1"/>
      <c r="X34" s="1"/>
      <c r="Y34" s="1"/>
      <c r="Z34" s="1"/>
    </row>
    <row r="35" spans="1:26" ht="15.75" customHeight="1" x14ac:dyDescent="0.3">
      <c r="A35" s="2" t="s">
        <v>153</v>
      </c>
      <c r="B35" s="1" t="s">
        <v>128</v>
      </c>
      <c r="C35" s="1" t="str">
        <f t="shared" ref="C35:C94" si="2">A35</f>
        <v>Structure Type</v>
      </c>
      <c r="D35" s="1" t="s">
        <v>129</v>
      </c>
      <c r="E35" s="1" t="str">
        <f t="shared" ref="E35:E94" si="3">CONCATENATE(B35,C35,D35)</f>
        <v>«Structure Type»</v>
      </c>
      <c r="F35" s="1"/>
      <c r="G35" s="1"/>
      <c r="H35" s="1"/>
      <c r="I35" s="3"/>
      <c r="J35" s="1"/>
      <c r="K35" s="1"/>
      <c r="L35" s="1"/>
      <c r="M35" s="1"/>
      <c r="N35" s="1"/>
      <c r="O35" s="1"/>
      <c r="P35" s="1"/>
      <c r="Q35" s="1"/>
      <c r="R35" s="1"/>
      <c r="S35" s="1"/>
      <c r="T35" s="1"/>
      <c r="U35" s="1"/>
      <c r="V35" s="1"/>
      <c r="W35" s="1"/>
      <c r="X35" s="1"/>
      <c r="Y35" s="1"/>
      <c r="Z35" s="1"/>
    </row>
    <row r="36" spans="1:26" ht="15.75" customHeight="1" x14ac:dyDescent="0.3">
      <c r="A36" s="32" t="s">
        <v>154</v>
      </c>
      <c r="B36" s="1" t="s">
        <v>128</v>
      </c>
      <c r="C36" s="1" t="str">
        <f t="shared" si="2"/>
        <v>Structure Description</v>
      </c>
      <c r="D36" s="1" t="s">
        <v>129</v>
      </c>
      <c r="E36" s="1" t="str">
        <f t="shared" si="3"/>
        <v>«Structure Description»</v>
      </c>
      <c r="F36" s="1"/>
      <c r="G36" s="1"/>
      <c r="H36" s="1"/>
      <c r="I36" s="3"/>
      <c r="J36" s="1"/>
      <c r="K36" s="1"/>
      <c r="L36" s="1"/>
      <c r="M36" s="1"/>
      <c r="N36" s="1"/>
      <c r="O36" s="1"/>
      <c r="P36" s="1"/>
      <c r="Q36" s="1"/>
      <c r="R36" s="1"/>
      <c r="S36" s="1"/>
      <c r="T36" s="1"/>
      <c r="U36" s="1"/>
      <c r="V36" s="1"/>
      <c r="W36" s="1"/>
      <c r="X36" s="1"/>
      <c r="Y36" s="1"/>
      <c r="Z36" s="1"/>
    </row>
    <row r="37" spans="1:26" ht="15.75" customHeight="1" x14ac:dyDescent="0.3">
      <c r="A37" s="2" t="s">
        <v>157</v>
      </c>
      <c r="B37" s="1" t="s">
        <v>128</v>
      </c>
      <c r="C37" s="1" t="str">
        <f t="shared" si="2"/>
        <v>Cable Make/Brand</v>
      </c>
      <c r="D37" s="1" t="s">
        <v>129</v>
      </c>
      <c r="E37" s="1" t="str">
        <f t="shared" si="3"/>
        <v>«Cable Make/Brand»</v>
      </c>
      <c r="F37" s="1"/>
      <c r="G37" s="1"/>
      <c r="H37" s="1"/>
      <c r="I37" s="3"/>
      <c r="J37" s="1"/>
      <c r="K37" s="1"/>
      <c r="L37" s="1"/>
      <c r="M37" s="1"/>
      <c r="N37" s="1"/>
      <c r="O37" s="1"/>
      <c r="P37" s="1"/>
      <c r="Q37" s="1"/>
      <c r="R37" s="1"/>
      <c r="S37" s="1"/>
      <c r="T37" s="1"/>
      <c r="U37" s="1"/>
      <c r="V37" s="1"/>
      <c r="W37" s="1"/>
      <c r="X37" s="1"/>
      <c r="Y37" s="1"/>
      <c r="Z37" s="1"/>
    </row>
    <row r="38" spans="1:26" ht="15.75" customHeight="1" x14ac:dyDescent="0.3">
      <c r="A38" s="2" t="s">
        <v>158</v>
      </c>
      <c r="B38" s="1" t="s">
        <v>128</v>
      </c>
      <c r="C38" s="1" t="str">
        <f t="shared" si="2"/>
        <v>AC</v>
      </c>
      <c r="D38" s="1" t="s">
        <v>129</v>
      </c>
      <c r="E38" s="1" t="str">
        <f t="shared" si="3"/>
        <v>«AC»</v>
      </c>
      <c r="F38" s="1"/>
      <c r="G38" s="1"/>
      <c r="H38" s="1"/>
      <c r="I38" s="3"/>
      <c r="J38" s="1"/>
      <c r="K38" s="1"/>
      <c r="L38" s="1"/>
      <c r="M38" s="1"/>
      <c r="N38" s="1"/>
      <c r="O38" s="1"/>
      <c r="P38" s="1"/>
      <c r="Q38" s="1"/>
      <c r="R38" s="1"/>
      <c r="S38" s="1"/>
      <c r="T38" s="1"/>
      <c r="U38" s="1"/>
      <c r="V38" s="1"/>
      <c r="W38" s="1"/>
      <c r="X38" s="1"/>
      <c r="Y38" s="1"/>
      <c r="Z38" s="1"/>
    </row>
    <row r="39" spans="1:26" ht="15.75" customHeight="1" x14ac:dyDescent="0.3">
      <c r="A39" s="2" t="s">
        <v>159</v>
      </c>
      <c r="B39" s="1" t="s">
        <v>128</v>
      </c>
      <c r="C39" s="1" t="str">
        <f t="shared" si="2"/>
        <v>DC</v>
      </c>
      <c r="D39" s="1" t="s">
        <v>129</v>
      </c>
      <c r="E39" s="1" t="str">
        <f t="shared" si="3"/>
        <v>«DC»</v>
      </c>
      <c r="F39" s="1"/>
      <c r="G39" s="1"/>
      <c r="H39" s="1"/>
      <c r="I39" s="3"/>
      <c r="J39" s="1"/>
      <c r="K39" s="1"/>
      <c r="L39" s="1"/>
      <c r="M39" s="1"/>
      <c r="N39" s="1"/>
      <c r="O39" s="1"/>
      <c r="P39" s="1"/>
      <c r="Q39" s="1"/>
      <c r="R39" s="1"/>
      <c r="S39" s="1"/>
      <c r="T39" s="1"/>
      <c r="U39" s="1"/>
      <c r="V39" s="1"/>
      <c r="W39" s="1"/>
      <c r="X39" s="1"/>
      <c r="Y39" s="1"/>
      <c r="Z39" s="1"/>
    </row>
    <row r="40" spans="1:26" ht="15.75" customHeight="1" x14ac:dyDescent="0.3">
      <c r="A40" s="3" t="s">
        <v>160</v>
      </c>
      <c r="B40" s="1" t="s">
        <v>128</v>
      </c>
      <c r="C40" s="1" t="str">
        <f t="shared" si="2"/>
        <v>BOS Warranty</v>
      </c>
      <c r="D40" s="1" t="s">
        <v>129</v>
      </c>
      <c r="E40" s="1" t="str">
        <f t="shared" si="3"/>
        <v>«BOS Warranty»</v>
      </c>
      <c r="F40" s="3"/>
      <c r="G40" s="3"/>
      <c r="H40" s="3"/>
      <c r="I40" s="3"/>
      <c r="J40" s="1"/>
      <c r="K40" s="1"/>
      <c r="L40" s="1"/>
      <c r="M40" s="1"/>
      <c r="N40" s="1"/>
      <c r="O40" s="1"/>
      <c r="P40" s="1"/>
      <c r="Q40" s="1"/>
      <c r="R40" s="1"/>
      <c r="S40" s="1"/>
      <c r="T40" s="1"/>
      <c r="U40" s="1"/>
      <c r="V40" s="1"/>
      <c r="W40" s="1"/>
      <c r="X40" s="1"/>
      <c r="Y40" s="1"/>
      <c r="Z40" s="1"/>
    </row>
    <row r="41" spans="1:26" ht="15.75" customHeight="1" x14ac:dyDescent="0.3">
      <c r="A41" s="2" t="s">
        <v>163</v>
      </c>
      <c r="B41" s="1" t="s">
        <v>128</v>
      </c>
      <c r="C41" s="1" t="str">
        <f t="shared" si="2"/>
        <v>DISCOM Name</v>
      </c>
      <c r="D41" s="1" t="s">
        <v>129</v>
      </c>
      <c r="E41" s="1" t="str">
        <f t="shared" si="3"/>
        <v>«DISCOM Name»</v>
      </c>
      <c r="F41" s="3"/>
      <c r="G41" s="3"/>
      <c r="H41" s="3"/>
      <c r="I41" s="3"/>
      <c r="J41" s="1"/>
      <c r="K41" s="1"/>
      <c r="L41" s="1"/>
      <c r="M41" s="1"/>
      <c r="N41" s="1"/>
      <c r="O41" s="1"/>
      <c r="P41" s="1"/>
      <c r="Q41" s="1"/>
      <c r="R41" s="1"/>
      <c r="S41" s="1"/>
      <c r="T41" s="1"/>
      <c r="U41" s="1"/>
      <c r="V41" s="1"/>
      <c r="W41" s="1"/>
      <c r="X41" s="1"/>
      <c r="Y41" s="1"/>
      <c r="Z41" s="1"/>
    </row>
    <row r="42" spans="1:26" ht="15.75" customHeight="1" x14ac:dyDescent="0.3">
      <c r="A42" s="2" t="s">
        <v>166</v>
      </c>
      <c r="B42" s="1" t="s">
        <v>128</v>
      </c>
      <c r="C42" s="1" t="str">
        <f t="shared" si="2"/>
        <v>Company Website</v>
      </c>
      <c r="D42" s="1" t="s">
        <v>129</v>
      </c>
      <c r="E42" s="1" t="str">
        <f t="shared" si="3"/>
        <v>«Company Website»</v>
      </c>
      <c r="F42" s="3"/>
      <c r="G42" s="3"/>
      <c r="H42" s="3"/>
      <c r="I42" s="3"/>
      <c r="J42" s="1"/>
      <c r="K42" s="1"/>
      <c r="L42" s="1"/>
      <c r="M42" s="1"/>
      <c r="N42" s="1"/>
      <c r="O42" s="1"/>
      <c r="P42" s="1"/>
      <c r="Q42" s="1"/>
      <c r="R42" s="1"/>
      <c r="S42" s="1"/>
      <c r="T42" s="1"/>
      <c r="U42" s="1"/>
      <c r="V42" s="1"/>
      <c r="W42" s="1"/>
      <c r="X42" s="1"/>
      <c r="Y42" s="1"/>
      <c r="Z42" s="1"/>
    </row>
    <row r="43" spans="1:26" ht="15.75" customHeight="1" x14ac:dyDescent="0.3">
      <c r="A43" s="1"/>
      <c r="B43" s="1" t="s">
        <v>128</v>
      </c>
      <c r="C43" s="1">
        <f t="shared" si="2"/>
        <v>0</v>
      </c>
      <c r="D43" s="1" t="s">
        <v>129</v>
      </c>
      <c r="E43" s="1" t="str">
        <f t="shared" si="3"/>
        <v>«0»</v>
      </c>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t="s">
        <v>128</v>
      </c>
      <c r="C44" s="1">
        <f t="shared" si="2"/>
        <v>0</v>
      </c>
      <c r="D44" s="1" t="s">
        <v>129</v>
      </c>
      <c r="E44" s="1" t="str">
        <f t="shared" si="3"/>
        <v>«0»</v>
      </c>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t="s">
        <v>128</v>
      </c>
      <c r="C45" s="1">
        <f t="shared" si="2"/>
        <v>0</v>
      </c>
      <c r="D45" s="1" t="s">
        <v>129</v>
      </c>
      <c r="E45" s="1" t="str">
        <f t="shared" si="3"/>
        <v>«0»</v>
      </c>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t="s">
        <v>128</v>
      </c>
      <c r="C46" s="1">
        <f t="shared" si="2"/>
        <v>0</v>
      </c>
      <c r="D46" s="1" t="s">
        <v>129</v>
      </c>
      <c r="E46" s="1" t="str">
        <f t="shared" si="3"/>
        <v>«0»</v>
      </c>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t="s">
        <v>128</v>
      </c>
      <c r="C47" s="1">
        <f t="shared" si="2"/>
        <v>0</v>
      </c>
      <c r="D47" s="1" t="s">
        <v>129</v>
      </c>
      <c r="E47" s="1" t="str">
        <f t="shared" si="3"/>
        <v>«0»</v>
      </c>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t="s">
        <v>128</v>
      </c>
      <c r="C48" s="1">
        <f t="shared" si="2"/>
        <v>0</v>
      </c>
      <c r="D48" s="1" t="s">
        <v>129</v>
      </c>
      <c r="E48" s="1" t="str">
        <f t="shared" si="3"/>
        <v>«0»</v>
      </c>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t="s">
        <v>128</v>
      </c>
      <c r="C49" s="1">
        <f t="shared" si="2"/>
        <v>0</v>
      </c>
      <c r="D49" s="1" t="s">
        <v>129</v>
      </c>
      <c r="E49" s="1" t="str">
        <f t="shared" si="3"/>
        <v>«0»</v>
      </c>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t="s">
        <v>128</v>
      </c>
      <c r="C50" s="1">
        <f t="shared" si="2"/>
        <v>0</v>
      </c>
      <c r="D50" s="1" t="s">
        <v>129</v>
      </c>
      <c r="E50" s="1" t="str">
        <f t="shared" si="3"/>
        <v>«0»</v>
      </c>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t="s">
        <v>128</v>
      </c>
      <c r="C51" s="1">
        <f t="shared" si="2"/>
        <v>0</v>
      </c>
      <c r="D51" s="1" t="s">
        <v>129</v>
      </c>
      <c r="E51" s="1" t="str">
        <f t="shared" si="3"/>
        <v>«0»</v>
      </c>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t="s">
        <v>128</v>
      </c>
      <c r="C52" s="1">
        <f t="shared" si="2"/>
        <v>0</v>
      </c>
      <c r="D52" s="1" t="s">
        <v>129</v>
      </c>
      <c r="E52" s="1" t="str">
        <f t="shared" si="3"/>
        <v>«0»</v>
      </c>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t="s">
        <v>128</v>
      </c>
      <c r="C53" s="1">
        <f t="shared" si="2"/>
        <v>0</v>
      </c>
      <c r="D53" s="1" t="s">
        <v>129</v>
      </c>
      <c r="E53" s="1" t="str">
        <f t="shared" si="3"/>
        <v>«0»</v>
      </c>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t="s">
        <v>128</v>
      </c>
      <c r="C54" s="1">
        <f t="shared" si="2"/>
        <v>0</v>
      </c>
      <c r="D54" s="1" t="s">
        <v>129</v>
      </c>
      <c r="E54" s="1" t="str">
        <f t="shared" si="3"/>
        <v>«0»</v>
      </c>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t="s">
        <v>128</v>
      </c>
      <c r="C55" s="1">
        <f t="shared" si="2"/>
        <v>0</v>
      </c>
      <c r="D55" s="1" t="s">
        <v>129</v>
      </c>
      <c r="E55" s="1" t="str">
        <f t="shared" si="3"/>
        <v>«0»</v>
      </c>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t="s">
        <v>128</v>
      </c>
      <c r="C56" s="1">
        <f t="shared" si="2"/>
        <v>0</v>
      </c>
      <c r="D56" s="1" t="s">
        <v>129</v>
      </c>
      <c r="E56" s="1" t="str">
        <f t="shared" si="3"/>
        <v>«0»</v>
      </c>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t="s">
        <v>128</v>
      </c>
      <c r="C57" s="1">
        <f t="shared" si="2"/>
        <v>0</v>
      </c>
      <c r="D57" s="1" t="s">
        <v>129</v>
      </c>
      <c r="E57" s="1" t="str">
        <f t="shared" si="3"/>
        <v>«0»</v>
      </c>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t="s">
        <v>128</v>
      </c>
      <c r="C58" s="1">
        <f t="shared" si="2"/>
        <v>0</v>
      </c>
      <c r="D58" s="1" t="s">
        <v>129</v>
      </c>
      <c r="E58" s="1" t="str">
        <f t="shared" si="3"/>
        <v>«0»</v>
      </c>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t="s">
        <v>128</v>
      </c>
      <c r="C59" s="1">
        <f t="shared" si="2"/>
        <v>0</v>
      </c>
      <c r="D59" s="1" t="s">
        <v>129</v>
      </c>
      <c r="E59" s="1" t="str">
        <f t="shared" si="3"/>
        <v>«0»</v>
      </c>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t="s">
        <v>128</v>
      </c>
      <c r="C60" s="1">
        <f t="shared" si="2"/>
        <v>0</v>
      </c>
      <c r="D60" s="1" t="s">
        <v>129</v>
      </c>
      <c r="E60" s="1" t="str">
        <f t="shared" si="3"/>
        <v>«0»</v>
      </c>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t="s">
        <v>128</v>
      </c>
      <c r="C61" s="1">
        <f t="shared" si="2"/>
        <v>0</v>
      </c>
      <c r="D61" s="1" t="s">
        <v>129</v>
      </c>
      <c r="E61" s="1" t="str">
        <f t="shared" si="3"/>
        <v>«0»</v>
      </c>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t="s">
        <v>128</v>
      </c>
      <c r="C62" s="1">
        <f t="shared" si="2"/>
        <v>0</v>
      </c>
      <c r="D62" s="1" t="s">
        <v>129</v>
      </c>
      <c r="E62" s="1" t="str">
        <f t="shared" si="3"/>
        <v>«0»</v>
      </c>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t="s">
        <v>128</v>
      </c>
      <c r="C63" s="1">
        <f t="shared" si="2"/>
        <v>0</v>
      </c>
      <c r="D63" s="1" t="s">
        <v>129</v>
      </c>
      <c r="E63" s="1" t="str">
        <f t="shared" si="3"/>
        <v>«0»</v>
      </c>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t="s">
        <v>128</v>
      </c>
      <c r="C64" s="1">
        <f t="shared" si="2"/>
        <v>0</v>
      </c>
      <c r="D64" s="1" t="s">
        <v>129</v>
      </c>
      <c r="E64" s="1" t="str">
        <f t="shared" si="3"/>
        <v>«0»</v>
      </c>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t="s">
        <v>128</v>
      </c>
      <c r="C65" s="1">
        <f t="shared" si="2"/>
        <v>0</v>
      </c>
      <c r="D65" s="1" t="s">
        <v>129</v>
      </c>
      <c r="E65" s="1" t="str">
        <f t="shared" si="3"/>
        <v>«0»</v>
      </c>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t="s">
        <v>128</v>
      </c>
      <c r="C66" s="1">
        <f t="shared" si="2"/>
        <v>0</v>
      </c>
      <c r="D66" s="1" t="s">
        <v>129</v>
      </c>
      <c r="E66" s="1" t="str">
        <f t="shared" si="3"/>
        <v>«0»</v>
      </c>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t="s">
        <v>128</v>
      </c>
      <c r="C67" s="1">
        <f t="shared" si="2"/>
        <v>0</v>
      </c>
      <c r="D67" s="1" t="s">
        <v>129</v>
      </c>
      <c r="E67" s="1" t="str">
        <f t="shared" si="3"/>
        <v>«0»</v>
      </c>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t="s">
        <v>128</v>
      </c>
      <c r="C68" s="1">
        <f t="shared" si="2"/>
        <v>0</v>
      </c>
      <c r="D68" s="1" t="s">
        <v>129</v>
      </c>
      <c r="E68" s="1" t="str">
        <f t="shared" si="3"/>
        <v>«0»</v>
      </c>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t="s">
        <v>128</v>
      </c>
      <c r="C69" s="1">
        <f t="shared" si="2"/>
        <v>0</v>
      </c>
      <c r="D69" s="1" t="s">
        <v>129</v>
      </c>
      <c r="E69" s="1" t="str">
        <f t="shared" si="3"/>
        <v>«0»</v>
      </c>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t="s">
        <v>128</v>
      </c>
      <c r="C70" s="1">
        <f t="shared" si="2"/>
        <v>0</v>
      </c>
      <c r="D70" s="1" t="s">
        <v>129</v>
      </c>
      <c r="E70" s="1" t="str">
        <f t="shared" si="3"/>
        <v>«0»</v>
      </c>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t="s">
        <v>128</v>
      </c>
      <c r="C71" s="1">
        <f t="shared" si="2"/>
        <v>0</v>
      </c>
      <c r="D71" s="1" t="s">
        <v>129</v>
      </c>
      <c r="E71" s="1" t="str">
        <f t="shared" si="3"/>
        <v>«0»</v>
      </c>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t="s">
        <v>128</v>
      </c>
      <c r="C72" s="1">
        <f t="shared" si="2"/>
        <v>0</v>
      </c>
      <c r="D72" s="1" t="s">
        <v>129</v>
      </c>
      <c r="E72" s="1" t="str">
        <f t="shared" si="3"/>
        <v>«0»</v>
      </c>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t="s">
        <v>128</v>
      </c>
      <c r="C73" s="1">
        <f t="shared" si="2"/>
        <v>0</v>
      </c>
      <c r="D73" s="1" t="s">
        <v>129</v>
      </c>
      <c r="E73" s="1" t="str">
        <f t="shared" si="3"/>
        <v>«0»</v>
      </c>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t="s">
        <v>128</v>
      </c>
      <c r="C74" s="1">
        <f t="shared" si="2"/>
        <v>0</v>
      </c>
      <c r="D74" s="1" t="s">
        <v>129</v>
      </c>
      <c r="E74" s="1" t="str">
        <f t="shared" si="3"/>
        <v>«0»</v>
      </c>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t="s">
        <v>128</v>
      </c>
      <c r="C75" s="1">
        <f t="shared" si="2"/>
        <v>0</v>
      </c>
      <c r="D75" s="1" t="s">
        <v>129</v>
      </c>
      <c r="E75" s="1" t="str">
        <f t="shared" si="3"/>
        <v>«0»</v>
      </c>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t="s">
        <v>128</v>
      </c>
      <c r="C76" s="1">
        <f t="shared" si="2"/>
        <v>0</v>
      </c>
      <c r="D76" s="1" t="s">
        <v>129</v>
      </c>
      <c r="E76" s="1" t="str">
        <f t="shared" si="3"/>
        <v>«0»</v>
      </c>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t="s">
        <v>128</v>
      </c>
      <c r="C77" s="1">
        <f t="shared" si="2"/>
        <v>0</v>
      </c>
      <c r="D77" s="1" t="s">
        <v>129</v>
      </c>
      <c r="E77" s="1" t="str">
        <f t="shared" si="3"/>
        <v>«0»</v>
      </c>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t="s">
        <v>128</v>
      </c>
      <c r="C78" s="1">
        <f t="shared" si="2"/>
        <v>0</v>
      </c>
      <c r="D78" s="1" t="s">
        <v>129</v>
      </c>
      <c r="E78" s="1" t="str">
        <f t="shared" si="3"/>
        <v>«0»</v>
      </c>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t="s">
        <v>128</v>
      </c>
      <c r="C79" s="1">
        <f t="shared" si="2"/>
        <v>0</v>
      </c>
      <c r="D79" s="1" t="s">
        <v>129</v>
      </c>
      <c r="E79" s="1" t="str">
        <f t="shared" si="3"/>
        <v>«0»</v>
      </c>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t="s">
        <v>128</v>
      </c>
      <c r="C80" s="1">
        <f t="shared" si="2"/>
        <v>0</v>
      </c>
      <c r="D80" s="1" t="s">
        <v>129</v>
      </c>
      <c r="E80" s="1" t="str">
        <f t="shared" si="3"/>
        <v>«0»</v>
      </c>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t="s">
        <v>128</v>
      </c>
      <c r="C81" s="1">
        <f t="shared" si="2"/>
        <v>0</v>
      </c>
      <c r="D81" s="1" t="s">
        <v>129</v>
      </c>
      <c r="E81" s="1" t="str">
        <f t="shared" si="3"/>
        <v>«0»</v>
      </c>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t="s">
        <v>128</v>
      </c>
      <c r="C82" s="1">
        <f t="shared" si="2"/>
        <v>0</v>
      </c>
      <c r="D82" s="1" t="s">
        <v>129</v>
      </c>
      <c r="E82" s="1" t="str">
        <f t="shared" si="3"/>
        <v>«0»</v>
      </c>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t="s">
        <v>128</v>
      </c>
      <c r="C83" s="1">
        <f t="shared" si="2"/>
        <v>0</v>
      </c>
      <c r="D83" s="1" t="s">
        <v>129</v>
      </c>
      <c r="E83" s="1" t="str">
        <f t="shared" si="3"/>
        <v>«0»</v>
      </c>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t="s">
        <v>128</v>
      </c>
      <c r="C84" s="1">
        <f t="shared" si="2"/>
        <v>0</v>
      </c>
      <c r="D84" s="1" t="s">
        <v>129</v>
      </c>
      <c r="E84" s="1" t="str">
        <f t="shared" si="3"/>
        <v>«0»</v>
      </c>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t="s">
        <v>128</v>
      </c>
      <c r="C85" s="1">
        <f t="shared" si="2"/>
        <v>0</v>
      </c>
      <c r="D85" s="1" t="s">
        <v>129</v>
      </c>
      <c r="E85" s="1" t="str">
        <f t="shared" si="3"/>
        <v>«0»</v>
      </c>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t="s">
        <v>128</v>
      </c>
      <c r="C86" s="1">
        <f t="shared" si="2"/>
        <v>0</v>
      </c>
      <c r="D86" s="1" t="s">
        <v>129</v>
      </c>
      <c r="E86" s="1" t="str">
        <f t="shared" si="3"/>
        <v>«0»</v>
      </c>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t="s">
        <v>128</v>
      </c>
      <c r="C87" s="1">
        <f t="shared" si="2"/>
        <v>0</v>
      </c>
      <c r="D87" s="1" t="s">
        <v>129</v>
      </c>
      <c r="E87" s="1" t="str">
        <f t="shared" si="3"/>
        <v>«0»</v>
      </c>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t="s">
        <v>128</v>
      </c>
      <c r="C88" s="1">
        <f t="shared" si="2"/>
        <v>0</v>
      </c>
      <c r="D88" s="1" t="s">
        <v>129</v>
      </c>
      <c r="E88" s="1" t="str">
        <f t="shared" si="3"/>
        <v>«0»</v>
      </c>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t="s">
        <v>128</v>
      </c>
      <c r="C89" s="1">
        <f t="shared" si="2"/>
        <v>0</v>
      </c>
      <c r="D89" s="1" t="s">
        <v>129</v>
      </c>
      <c r="E89" s="1" t="str">
        <f t="shared" si="3"/>
        <v>«0»</v>
      </c>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t="s">
        <v>128</v>
      </c>
      <c r="C90" s="1">
        <f t="shared" si="2"/>
        <v>0</v>
      </c>
      <c r="D90" s="1" t="s">
        <v>129</v>
      </c>
      <c r="E90" s="1" t="str">
        <f t="shared" si="3"/>
        <v>«0»</v>
      </c>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t="s">
        <v>128</v>
      </c>
      <c r="C91" s="1">
        <f t="shared" si="2"/>
        <v>0</v>
      </c>
      <c r="D91" s="1" t="s">
        <v>129</v>
      </c>
      <c r="E91" s="1" t="str">
        <f t="shared" si="3"/>
        <v>«0»</v>
      </c>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t="s">
        <v>128</v>
      </c>
      <c r="C92" s="1">
        <f t="shared" si="2"/>
        <v>0</v>
      </c>
      <c r="D92" s="1" t="s">
        <v>129</v>
      </c>
      <c r="E92" s="1" t="str">
        <f t="shared" si="3"/>
        <v>«0»</v>
      </c>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t="s">
        <v>128</v>
      </c>
      <c r="C93" s="1">
        <f t="shared" si="2"/>
        <v>0</v>
      </c>
      <c r="D93" s="1" t="s">
        <v>129</v>
      </c>
      <c r="E93" s="1" t="str">
        <f t="shared" si="3"/>
        <v>«0»</v>
      </c>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t="s">
        <v>128</v>
      </c>
      <c r="C94" s="1">
        <f t="shared" si="2"/>
        <v>0</v>
      </c>
      <c r="D94" s="1" t="s">
        <v>129</v>
      </c>
      <c r="E94" s="1" t="str">
        <f t="shared" si="3"/>
        <v>«0»</v>
      </c>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sheetProtection selectLockedCells="1" selectUnlockedCells="1"/>
  <pageMargins left="0.70866141732283472" right="0.70866141732283472" top="0.74803149606299213" bottom="0.74803149606299213"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 Page</vt:lpstr>
      <vt:lpstr>Savings &amp; Graph</vt:lpstr>
      <vt:lpstr>Variable Page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Satyam</dc:creator>
  <cp:lastModifiedBy>THUNDERFANG</cp:lastModifiedBy>
  <dcterms:created xsi:type="dcterms:W3CDTF">2024-07-30T18:07:52Z</dcterms:created>
  <dcterms:modified xsi:type="dcterms:W3CDTF">2024-10-29T07:44:54Z</dcterms:modified>
</cp:coreProperties>
</file>